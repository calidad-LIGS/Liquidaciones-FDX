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Liquidaciones_FedEx\datos\"/>
    </mc:Choice>
  </mc:AlternateContent>
  <xr:revisionPtr revIDLastSave="0" documentId="13_ncr:1_{D084C497-A376-4106-A4E3-FAF1EDAE73B3}" xr6:coauthVersionLast="47" xr6:coauthVersionMax="47" xr10:uidLastSave="{00000000-0000-0000-0000-000000000000}"/>
  <bookViews>
    <workbookView xWindow="28680" yWindow="-120" windowWidth="29040" windowHeight="15720" xr2:uid="{CC85E23D-F8CE-4B4A-A179-DE172E72C50E}"/>
  </bookViews>
  <sheets>
    <sheet name="Comercializadoras" sheetId="1" r:id="rId1"/>
    <sheet name="Etiquetas" sheetId="2" r:id="rId2"/>
    <sheet name="Art. 40" sheetId="4" r:id="rId3"/>
    <sheet name="Pasajeros" sheetId="3" r:id="rId4"/>
    <sheet name="Fis" sheetId="5" r:id="rId5"/>
    <sheet name="DPA" sheetId="6" r:id="rId6"/>
    <sheet name="Hallazgos" sheetId="7" r:id="rId7"/>
    <sheet name="Rectificacion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4" l="1"/>
</calcChain>
</file>

<file path=xl/sharedStrings.xml><?xml version="1.0" encoding="utf-8"?>
<sst xmlns="http://schemas.openxmlformats.org/spreadsheetml/2006/main" count="899" uniqueCount="325">
  <si>
    <t>REFRENCIA</t>
  </si>
  <si>
    <t>CLAVE</t>
  </si>
  <si>
    <t>CAPTURISTA</t>
  </si>
  <si>
    <t>CLIENTES</t>
  </si>
  <si>
    <t>OPERACIÓN</t>
  </si>
  <si>
    <t>ADUANA</t>
  </si>
  <si>
    <t>PATENTE</t>
  </si>
  <si>
    <t>IMPUESTO</t>
  </si>
  <si>
    <t>CARGO</t>
  </si>
  <si>
    <t>OBSERVACION</t>
  </si>
  <si>
    <t>AA</t>
  </si>
  <si>
    <t>TARIFA</t>
  </si>
  <si>
    <t>ENTRADA</t>
  </si>
  <si>
    <t>SALIDA</t>
  </si>
  <si>
    <t>COSTO</t>
  </si>
  <si>
    <t>JVFI6016111</t>
  </si>
  <si>
    <t>A1</t>
  </si>
  <si>
    <t>JMAGANA</t>
  </si>
  <si>
    <t xml:space="preserve">DISTRIBUIDORA DE BALEROS DEL SURESTE, S.A. DE C.V. </t>
  </si>
  <si>
    <t>IMP</t>
  </si>
  <si>
    <t>CTE</t>
  </si>
  <si>
    <t xml:space="preserve">SE RECTIFICO EL MONTO FINAL DE FACTURA </t>
  </si>
  <si>
    <t>JOHNATAN MAGANA</t>
  </si>
  <si>
    <t>2025-05-02</t>
  </si>
  <si>
    <t>2026-05-29</t>
  </si>
  <si>
    <t>RJVFI6016607</t>
  </si>
  <si>
    <t>ALUGO</t>
  </si>
  <si>
    <t>FEDERAL EXPRESS HOLDINGS (MEXICO) Y COMPA�IA S EN NC DE CV</t>
  </si>
  <si>
    <t xml:space="preserve">CANTIDAD </t>
  </si>
  <si>
    <t>ALEJANDRA LUGO</t>
  </si>
  <si>
    <t>2026-05-07</t>
  </si>
  <si>
    <t>2026-05-21</t>
  </si>
  <si>
    <t>Fecha de Llegada</t>
  </si>
  <si>
    <t>30 de ABRIL de 2026</t>
  </si>
  <si>
    <t>3808 8020 9660</t>
  </si>
  <si>
    <t>“LINDSEY HOLLOW DR  ”</t>
  </si>
  <si>
    <t>28/05/2026 10:01 a.</t>
  </si>
  <si>
    <t>6756</t>
  </si>
  <si>
    <t>dpa</t>
  </si>
  <si>
    <t>(¢) DPA FEDERAL EXPRESS PED 6756 INSPECCION OCULAR $ 267.00 MN</t>
  </si>
  <si>
    <t>28/05/2026 09:36 a.</t>
  </si>
  <si>
    <t>6755</t>
  </si>
  <si>
    <t>[e) FEDERAL DPA EXPRESS PED 6755 INSPECCION OCULAR $ 267.00 MN</t>
  </si>
  <si>
    <t>27/05/2026 03:58 p.</t>
  </si>
  <si>
    <t>16719</t>
  </si>
  <si>
    <t>[@) DPA FEDEX MERIDA PED 16719 $ 267.00 MN</t>
  </si>
  <si>
    <t>27/05/2026 03:55 p.</t>
  </si>
  <si>
    <t>16709</t>
  </si>
  <si>
    <t>[e) DPA FEDEX MERIDA PED 16709 $ 267.00 MN</t>
  </si>
  <si>
    <t>27/05/2026 03:52 p.</t>
  </si>
  <si>
    <t>16682</t>
  </si>
  <si>
    <t>[e) DPA FEDEX MERIDA PED 16682 $ 267.00 MN</t>
  </si>
  <si>
    <t>27/05/2026 03:48 p.</t>
  </si>
  <si>
    <t>16734</t>
  </si>
  <si>
    <t>\@) DPA FEDEX MERIDA PED 16734 $ 267.00 MN</t>
  </si>
  <si>
    <t>21/05/2026 03:50 p.</t>
  </si>
  <si>
    <t>6663</t>
  </si>
  <si>
    <t>(2) DPA FEDERAL EXPRESS PED 6663 § 26700 MN</t>
  </si>
  <si>
    <t>21/05/2026 11:27 a.</t>
  </si>
  <si>
    <t>6662</t>
  </si>
  <si>
    <t>[@) DPA FEDERAL EXPRESS PED 6662 INSPECCION OCULAR $ 267.00 MN</t>
  </si>
  <si>
    <t>21/05/2026 11:23 a.</t>
  </si>
  <si>
    <t>6661</t>
  </si>
  <si>
    <t>[e) DPA FEDERAL EXPRESS PED 6661 INSPECCION OCULAR $ 267.00 MN</t>
  </si>
  <si>
    <t>21/05/2026 11:20 a.</t>
  </si>
  <si>
    <t>6648</t>
  </si>
  <si>
    <t>[e) FEDERAL DPA EXPRESS PED 6648 INSPECCION OCULAR $ 267.00 MN</t>
  </si>
  <si>
    <t>21/05/2026 11:16 a.</t>
  </si>
  <si>
    <t>6659</t>
  </si>
  <si>
    <t>(¢) DPA FEDERAL EXPRESS PED 6659 INSPECCION OCULAR $ 267.00 MN</t>
  </si>
  <si>
    <t>21/05/2026 11:12 a.</t>
  </si>
  <si>
    <t>6665</t>
  </si>
  <si>
    <t>[e) FEDERAL DPA EXPRESS PED 6665 INSPECCION OCULAR $ 267.00 MN</t>
  </si>
  <si>
    <t>14/05/2026 04:42 p.</t>
  </si>
  <si>
    <t>6589</t>
  </si>
  <si>
    <t>[@) DPA FEDERAL EXPRESS PED 6589 INSPECCION OCULAR $ 267.00 MN</t>
  </si>
  <si>
    <t>14/05/2026 11:12 a.</t>
  </si>
  <si>
    <t>6533</t>
  </si>
  <si>
    <t>[e) DPA FEDERAL EXPRESS PED 6533 INSPECCION OCULAR $ 267.00 MN</t>
  </si>
  <si>
    <t>14/05/2026 11:08 a.</t>
  </si>
  <si>
    <t>6552</t>
  </si>
  <si>
    <t>[e) FEDERAL DPA EXPRESS PED 6552 INSPECCION OCULAR $ 267.00 MN</t>
  </si>
  <si>
    <t>14/05/2026 10:54 a.</t>
  </si>
  <si>
    <t>6575</t>
  </si>
  <si>
    <t>(@) DPA FEDERAL EXPRESS PED 6575 INSPECCION OCULAR $ 267.00 MN</t>
  </si>
  <si>
    <t>14/05/2026 10:49 a.</t>
  </si>
  <si>
    <t>6557</t>
  </si>
  <si>
    <t>[e) FEDERAL DPA EXPRESS PED 6557 INSPECCION OCULAR $ 267.00 MN</t>
  </si>
  <si>
    <t>14/05/2026 10:45 a.</t>
  </si>
  <si>
    <t>6551</t>
  </si>
  <si>
    <t>[@) DPA FEDERAL EXPRESS PED 6551 INSPECCION OCULAR $ 267.00 MN</t>
  </si>
  <si>
    <t>11/05/2026 12:33 p.</t>
  </si>
  <si>
    <t>6514</t>
  </si>
  <si>
    <t>[e) DPA FEDERAL EXPRESS PED 6514 INSPECCION OCULAR $ 267.00 MN</t>
  </si>
  <si>
    <t>07/05/2026 04:42 p.</t>
  </si>
  <si>
    <t>6477</t>
  </si>
  <si>
    <t>[f) FEDERAL DPA EXPRESS PED 6477 INPECCION OCULAR $ 267.00 MN</t>
  </si>
  <si>
    <t>07/05/2026 01:54 p.</t>
  </si>
  <si>
    <t>6461</t>
  </si>
  <si>
    <t>(¢) DPA FEDERAL EXPRESS PED 6461 INSPECCION OCULAR $ 267.00 MN</t>
  </si>
  <si>
    <t>NUMERO PEDIMENTO</t>
  </si>
  <si>
    <t>TIPO</t>
  </si>
  <si>
    <t>CLIENTE</t>
  </si>
  <si>
    <t>BULTOS</t>
  </si>
  <si>
    <t>T OP</t>
  </si>
  <si>
    <t>FCFI6002018</t>
  </si>
  <si>
    <t>8716904079 54</t>
  </si>
  <si>
    <t>CYAN</t>
  </si>
  <si>
    <t>IND</t>
  </si>
  <si>
    <t>COMERCIALIZADORA GRUPO PENINSULAR SA DE CV</t>
  </si>
  <si>
    <t>JVFI6016377</t>
  </si>
  <si>
    <t>8706804046 60</t>
  </si>
  <si>
    <t>SCEME</t>
  </si>
  <si>
    <t>COMERCIALIZADORA LARA LEON S DE RL DE CV</t>
  </si>
  <si>
    <t>JVFI6016379</t>
  </si>
  <si>
    <t>870908392 985</t>
  </si>
  <si>
    <t>SERSANCO INTERNATIONAL SA DE CV</t>
  </si>
  <si>
    <t>JVFI6016382</t>
  </si>
  <si>
    <t>I+D E INNOVACION SA DE CV</t>
  </si>
  <si>
    <t>JVFI6016385</t>
  </si>
  <si>
    <t>FMONTESI</t>
  </si>
  <si>
    <t>CRISTOBAL DIEGO MATEO</t>
  </si>
  <si>
    <t>JVFI6016386</t>
  </si>
  <si>
    <t>JVFI6016390</t>
  </si>
  <si>
    <t>GRUPO INSOLAR SA DE CV</t>
  </si>
  <si>
    <t>JVFI6016392</t>
  </si>
  <si>
    <t>HIDRAULICA TG SA DE CV</t>
  </si>
  <si>
    <t>JVFI6016402</t>
  </si>
  <si>
    <t>JVFI6016418</t>
  </si>
  <si>
    <t>TREXSEL SA DE CV</t>
  </si>
  <si>
    <t>JVFI6016420</t>
  </si>
  <si>
    <t>JVFI6016422</t>
  </si>
  <si>
    <t>MIGUELC</t>
  </si>
  <si>
    <t>JVFI6016423</t>
  </si>
  <si>
    <t>JVFI6016426</t>
  </si>
  <si>
    <t>AD</t>
  </si>
  <si>
    <t>JAMES XIAO</t>
  </si>
  <si>
    <t>JVFI6016429</t>
  </si>
  <si>
    <t>PASTOR</t>
  </si>
  <si>
    <t>JVFI6016430</t>
  </si>
  <si>
    <t>UNITED AIRLINES, INC</t>
  </si>
  <si>
    <t>JVFI6016435</t>
  </si>
  <si>
    <t>JVFI6016438</t>
  </si>
  <si>
    <t>ULTRA BOUTIQUES SA DE CV</t>
  </si>
  <si>
    <t>JVFI6016443</t>
  </si>
  <si>
    <t>JVFI6016444</t>
  </si>
  <si>
    <t>AURIBE</t>
  </si>
  <si>
    <t>JVFI6016446</t>
  </si>
  <si>
    <t>523321386759, 523321386748, 523321386760</t>
  </si>
  <si>
    <t>JVFI6016447</t>
  </si>
  <si>
    <t>AUGUSTA SPORTSWEAR DE MEXICO S DE RL DE CV</t>
  </si>
  <si>
    <t>JVFI6016450</t>
  </si>
  <si>
    <t>JORGE</t>
  </si>
  <si>
    <t>DESARROLLADORA MEXICANA DE INFRAESTRUCTURA, S.A. DE C.V.</t>
  </si>
  <si>
    <t>JVFI6016455</t>
  </si>
  <si>
    <t>JVFI6016459</t>
  </si>
  <si>
    <t>JVFI6016460</t>
  </si>
  <si>
    <t>JVFI6016462</t>
  </si>
  <si>
    <t>JVFI6016470</t>
  </si>
  <si>
    <t>JVFI6016471</t>
  </si>
  <si>
    <t>SUMINISTROS INDUSTRIALES REINSUR S DE RL DE CV</t>
  </si>
  <si>
    <t>JVFI6016476</t>
  </si>
  <si>
    <t>JVFI6016479</t>
  </si>
  <si>
    <t>JVFI6016485</t>
  </si>
  <si>
    <t>JVFI6016489</t>
  </si>
  <si>
    <t>JVFI6016491</t>
  </si>
  <si>
    <t>JVFI6016494</t>
  </si>
  <si>
    <t>JVFI6016499</t>
  </si>
  <si>
    <t>JVFI6016511</t>
  </si>
  <si>
    <t>SERVICIOS PETROLEROS INTEGRADOS SA DE CV</t>
  </si>
  <si>
    <t>JVFI6016515</t>
  </si>
  <si>
    <t>JVFI6016520</t>
  </si>
  <si>
    <t>JVFI6016524</t>
  </si>
  <si>
    <t>OSCAR CARRERA NOTARIO</t>
  </si>
  <si>
    <t>JVFI6016525</t>
  </si>
  <si>
    <t>JVFI6016531</t>
  </si>
  <si>
    <t>HECTOR MEJIA RUIZ</t>
  </si>
  <si>
    <t>JVFI6016535</t>
  </si>
  <si>
    <t>MANUFACTURERA LEE DE MEXICO S DE RL DE CV</t>
  </si>
  <si>
    <t>JVFI6016543</t>
  </si>
  <si>
    <t>GREYDIS JACIBE ABUABARA VILLAMIZAR</t>
  </si>
  <si>
    <t>JVFI6016545</t>
  </si>
  <si>
    <t>JVFI6016546</t>
  </si>
  <si>
    <t>PLAYERAS MEXICANAS SA DE CV</t>
  </si>
  <si>
    <t>JVFI6016549</t>
  </si>
  <si>
    <t>JVFI6016554</t>
  </si>
  <si>
    <t>JVFI6016560</t>
  </si>
  <si>
    <t>JVFI6016561</t>
  </si>
  <si>
    <t>IMPORTADORA TEXTIL DEL SURESTE, S. DE R.L. DE C.V.</t>
  </si>
  <si>
    <t>JVFI6016563</t>
  </si>
  <si>
    <t>JVFI6016564</t>
  </si>
  <si>
    <t>PAVILA</t>
  </si>
  <si>
    <t>MARBOL INDUSTRIA MUEBLERA SA DE CV</t>
  </si>
  <si>
    <t>JVFI6016566</t>
  </si>
  <si>
    <t>ZENNIO MX SA DE CV</t>
  </si>
  <si>
    <t>JVFI6016569</t>
  </si>
  <si>
    <t>JVFI6016580</t>
  </si>
  <si>
    <t>JVFI6016582</t>
  </si>
  <si>
    <t>JVFI6016586</t>
  </si>
  <si>
    <t>JVFI6016592</t>
  </si>
  <si>
    <t>871438896063, 871445664866</t>
  </si>
  <si>
    <t>TESLA AUTOMOBILES SALES AND SERVICE MEXICO, S DE RL DE CV</t>
  </si>
  <si>
    <t>JVFI6016593</t>
  </si>
  <si>
    <t>JVFI6016596</t>
  </si>
  <si>
    <t>JOSUE ABRAHAM RUBIO PECH</t>
  </si>
  <si>
    <t>JVFI6016598</t>
  </si>
  <si>
    <t>JVFI6016599</t>
  </si>
  <si>
    <t>FRANCISCO JAVIER CRUZ SOSA</t>
  </si>
  <si>
    <t>JVFI6016600</t>
  </si>
  <si>
    <t>JVFI6016602</t>
  </si>
  <si>
    <t>JVFI6016605</t>
  </si>
  <si>
    <t>JVFI6016617</t>
  </si>
  <si>
    <t>LABORATORIO OPTICO DUARTE, S.A. DE C.V.</t>
  </si>
  <si>
    <t>JVFI6016620</t>
  </si>
  <si>
    <t>PRODUCTOS MITZA S.A. DE C.V.</t>
  </si>
  <si>
    <t>JVFI6016622</t>
  </si>
  <si>
    <t>PRODUCTOS Y SERVICIOS PETROLUMTAB SA DE CV</t>
  </si>
  <si>
    <t>JVFI6016626</t>
  </si>
  <si>
    <t>JVFI6016632</t>
  </si>
  <si>
    <t>JVFI6016635</t>
  </si>
  <si>
    <t>JVFI6016638</t>
  </si>
  <si>
    <t>JVFI6016645</t>
  </si>
  <si>
    <t>MODA CEBANU, SA DE CV</t>
  </si>
  <si>
    <t>JVFI6016649</t>
  </si>
  <si>
    <t>JVFI6016652</t>
  </si>
  <si>
    <t>JVFI6016653</t>
  </si>
  <si>
    <t>JVFI6016654</t>
  </si>
  <si>
    <t>JVFI6016656</t>
  </si>
  <si>
    <t>SENS THERAPY AROMATERAPIA SAS DE CV</t>
  </si>
  <si>
    <t>JVFI6016660</t>
  </si>
  <si>
    <t>JVFI6016664</t>
  </si>
  <si>
    <t>JVFI6016668</t>
  </si>
  <si>
    <t>JVFI6016669</t>
  </si>
  <si>
    <t>JVFI6016670</t>
  </si>
  <si>
    <t>JVFI6016671</t>
  </si>
  <si>
    <t>JVFI6016676</t>
  </si>
  <si>
    <t>OPERADORA GANSO AZUL, S DE RL DE CV</t>
  </si>
  <si>
    <t>JVFI6016680</t>
  </si>
  <si>
    <t>JVFI6016681</t>
  </si>
  <si>
    <t>JVFI6016684</t>
  </si>
  <si>
    <t>SERVICIOS DE AUTOMATIZACION INTEGRAL DEL CARIBE SAS DE CV</t>
  </si>
  <si>
    <t>JVFI6016688</t>
  </si>
  <si>
    <t>JVFI6016693</t>
  </si>
  <si>
    <t>JVFI6016695</t>
  </si>
  <si>
    <t>JOYERIA ROMESA SA DE CV</t>
  </si>
  <si>
    <t>JVFI6016697</t>
  </si>
  <si>
    <t>KSTX MEXICO, S DE RL DE CV</t>
  </si>
  <si>
    <t>JVFI6016704</t>
  </si>
  <si>
    <t>MVELA</t>
  </si>
  <si>
    <t>JVFI6016708</t>
  </si>
  <si>
    <t>BRAZALETES MEXICO SA DE CV</t>
  </si>
  <si>
    <t>JVFI6016713</t>
  </si>
  <si>
    <t>JVFI6016715</t>
  </si>
  <si>
    <t>DISTRIBUCION Y TECNOLOGIAS S.A. DE C.V.</t>
  </si>
  <si>
    <t>JVFI6016716</t>
  </si>
  <si>
    <t>TEC LOGI, SA DE CV</t>
  </si>
  <si>
    <t>JVFI6016722</t>
  </si>
  <si>
    <t>JVFI6016727</t>
  </si>
  <si>
    <t>JVFI6016731</t>
  </si>
  <si>
    <t>JVFI6016733</t>
  </si>
  <si>
    <t>526940546898/ 526940546902/ 526940546913/ 526940546924</t>
  </si>
  <si>
    <t>JVFI6016757</t>
  </si>
  <si>
    <t>JVFI6016761</t>
  </si>
  <si>
    <t>526940546729//526940546795//526940546800//526940546832</t>
  </si>
  <si>
    <t>JVFI6016762</t>
  </si>
  <si>
    <t>ERICK SATURNINO MARTINEZ MARTINEZ</t>
  </si>
  <si>
    <t>JVFI6016765</t>
  </si>
  <si>
    <t>FECHA/PAGO</t>
  </si>
  <si>
    <t xml:space="preserve">Importación </t>
  </si>
  <si>
    <t xml:space="preserve">$               306.00 </t>
  </si>
  <si>
    <t xml:space="preserve">Fedex </t>
  </si>
  <si>
    <t>Exportación</t>
  </si>
  <si>
    <t>PCC AM</t>
  </si>
  <si>
    <t>PCC -PM</t>
  </si>
  <si>
    <t>Augusta -am</t>
  </si>
  <si>
    <t>Augusta -PM</t>
  </si>
  <si>
    <t xml:space="preserve"> $            2,142.00 </t>
  </si>
  <si>
    <t>DESTINO</t>
  </si>
  <si>
    <t>REASON CODE</t>
  </si>
  <si>
    <t>No DE GUIA</t>
  </si>
  <si>
    <t>FECHA DE ENTRADA</t>
  </si>
  <si>
    <t>DESCRIPCION DE LA MERCANCIA</t>
  </si>
  <si>
    <t>INFORMACION DE CONTACTO</t>
  </si>
  <si>
    <t>FECHA DE LIBERACION DE ADUANA</t>
  </si>
  <si>
    <t>EJECUTIVO CS A CARGO</t>
  </si>
  <si>
    <t xml:space="preserve">MES DE LIBERACION </t>
  </si>
  <si>
    <t>MERIDA YUC</t>
  </si>
  <si>
    <t xml:space="preserve">PERSO </t>
  </si>
  <si>
    <t>ILSE SAURETT MARTIN</t>
  </si>
  <si>
    <t>1 MALETA</t>
  </si>
  <si>
    <t>ilsesaurettm@gmail.com</t>
  </si>
  <si>
    <t>ALEJANDRO TEPAL</t>
  </si>
  <si>
    <t>MAYO</t>
  </si>
  <si>
    <t>CARMEN CAMPECHE</t>
  </si>
  <si>
    <t>LUIS SOLORIO HERNANDEZ</t>
  </si>
  <si>
    <t>luis_sh96@hotmail.com</t>
  </si>
  <si>
    <t>ETIQUETAS</t>
  </si>
  <si>
    <t>JVFI6016644</t>
  </si>
  <si>
    <t>SISTEMAS INTEGRALES DE AUTOMATIZACION SA DE CV</t>
  </si>
  <si>
    <t>JVFI6016579</t>
  </si>
  <si>
    <t>ELSA IRENE ARRIAGA RODRIGUEZ</t>
  </si>
  <si>
    <t>JVFI6016437</t>
  </si>
  <si>
    <t>WILLIAM FERNANDO CASTILLO JESUS</t>
  </si>
  <si>
    <t>JVFI6016517</t>
  </si>
  <si>
    <t>JVFI6016456</t>
  </si>
  <si>
    <t>GUIAS2</t>
  </si>
  <si>
    <t>FECHA</t>
  </si>
  <si>
    <t>DESCRIPCIÓN DE MERCANCIAS</t>
  </si>
  <si>
    <t>NOMBRE DESTINATARIO</t>
  </si>
  <si>
    <t>NÚMERO DE GUÍA</t>
  </si>
  <si>
    <t>NOMBRE ORIGINAL</t>
  </si>
  <si>
    <t>IMPORTE (MXN)</t>
  </si>
  <si>
    <t>CONCEPTO</t>
  </si>
  <si>
    <t>PEDIMENTO</t>
  </si>
  <si>
    <t>NO.</t>
  </si>
  <si>
    <t>PAGO DE PEDIMENTO</t>
  </si>
  <si>
    <t># GUÍA</t>
  </si>
  <si>
    <t>F ENTRADA</t>
  </si>
  <si>
    <t>F SALIDA</t>
  </si>
  <si>
    <t>CONS</t>
  </si>
  <si>
    <t>SERVICIO</t>
  </si>
  <si>
    <t>IMPORTE</t>
  </si>
  <si>
    <t>FECHA DEL SERVICIO</t>
  </si>
  <si>
    <t>GUÍAS</t>
  </si>
  <si>
    <t>GUÍAS ¨FIS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</si>
</sst>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9"/>
      <color rgb="FFFFFFFF"/>
      <name val="Arial"/>
      <family val="2"/>
    </font>
    <font>
      <sz val="9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u/>
      <sz val="9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38DD5"/>
        <bgColor rgb="FF000000"/>
      </patternFill>
    </fill>
    <fill>
      <patternFill patternType="solid">
        <fgColor rgb="FF538DD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0" fontId="1" fillId="0" borderId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45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" fontId="8" fillId="0" borderId="5" xfId="0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9" fillId="0" borderId="1" xfId="3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0" borderId="9" xfId="3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14" fontId="7" fillId="0" borderId="1" xfId="5" applyNumberFormat="1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1" fontId="7" fillId="0" borderId="7" xfId="5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4" fontId="7" fillId="0" borderId="9" xfId="5" applyNumberFormat="1" applyFont="1" applyBorder="1" applyAlignment="1">
      <alignment horizontal="center"/>
    </xf>
    <xf numFmtId="0" fontId="7" fillId="0" borderId="9" xfId="5" applyFont="1" applyBorder="1" applyAlignment="1">
      <alignment horizontal="center"/>
    </xf>
    <xf numFmtId="1" fontId="7" fillId="0" borderId="5" xfId="5" applyNumberFormat="1" applyFont="1" applyBorder="1" applyAlignment="1">
      <alignment horizontal="center"/>
    </xf>
  </cellXfs>
  <cellStyles count="6">
    <cellStyle name="Hipervínculo" xfId="3" builtinId="8"/>
    <cellStyle name="Normal" xfId="0" builtinId="0"/>
    <cellStyle name="Normal 19" xfId="5" xr:uid="{EEAA3D44-0933-4C29-87A6-516352D38DB6}"/>
    <cellStyle name="Normal 2" xfId="1" xr:uid="{E8F51473-07A4-4C8A-9F85-33A827B40A30}"/>
    <cellStyle name="Normal 20" xfId="2" xr:uid="{3FAE9AF1-15A6-47BE-AB00-0D798558AC7D}"/>
    <cellStyle name="Título 4" xfId="4" xr:uid="{691C02A4-0EF8-4995-AB2B-0C6BA478B389}"/>
  </cellStyles>
  <dxfs count="10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000000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21" formatCode="dd\-m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9" formatCode="dd/mm/yyyy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indexed="64"/>
          <bgColor rgb="FF538DD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AED981-1E62-42E8-AA5E-A754BFFE77D5}" name="Tabla1" displayName="Tabla1" ref="A1:D27" totalsRowShown="0" headerRowDxfId="82" dataDxfId="80" headerRowBorderDxfId="81" tableBorderDxfId="79" totalsRowBorderDxfId="78">
  <autoFilter ref="A1:D27" xr:uid="{78AED981-1E62-42E8-AA5E-A754BFFE77D5}"/>
  <tableColumns count="4">
    <tableColumn id="1" xr3:uid="{C24D1D9A-B4E6-422F-84C2-3725823DF71A}" name="NO." dataDxfId="77"/>
    <tableColumn id="2" xr3:uid="{ECB8970C-E3D4-4091-9C63-1818A3922A8B}" name="PAGO DE PEDIMENTO" dataDxfId="76" dataCellStyle="Normal 19"/>
    <tableColumn id="3" xr3:uid="{94BD59D2-AB14-458F-BC2F-542E75392D92}" name="PEDIMENTO" dataDxfId="75" dataCellStyle="Normal 19"/>
    <tableColumn id="4" xr3:uid="{3BEE2C23-EB13-4C84-A0C5-49E7FEDCB91B}" name="# GUÍA" dataDxfId="74" dataCellStyle="Normal 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AE80FF-942E-4FAE-B525-CE1C840A9551}" name="Tabla2" displayName="Tabla2" ref="A1:J12" totalsRowShown="0" headerRowDxfId="73" dataDxfId="72">
  <autoFilter ref="A1:J12" xr:uid="{21AE80FF-942E-4FAE-B525-CE1C840A9551}"/>
  <tableColumns count="10">
    <tableColumn id="1" xr3:uid="{DB99CC35-4353-403C-8D10-4B57A2CBE4E0}" name="REFRENCIA" dataDxfId="71"/>
    <tableColumn id="2" xr3:uid="{E2D8A000-8279-4301-84B8-92E7C4A33E7C}" name="NUMERO PEDIMENTO" dataDxfId="70"/>
    <tableColumn id="3" xr3:uid="{5B4B39DD-5D3B-424A-82FA-A3D313BD2FE2}" name="TIPO" dataDxfId="69"/>
    <tableColumn id="4" xr3:uid="{512C4DA2-1BC4-4FFB-9EC2-E7A901D1D607}" name="CAPTURISTA" dataDxfId="68"/>
    <tableColumn id="5" xr3:uid="{32DCCD1D-9CCE-4DA5-B13F-65DB1B0BF87D}" name="CLAVE" dataDxfId="67"/>
    <tableColumn id="6" xr3:uid="{42B7186E-5F8A-4CEB-88F5-D8757D624C5E}" name="CLIENTE" dataDxfId="66"/>
    <tableColumn id="7" xr3:uid="{A11BDA10-01B3-43FC-8E41-179B0DE0568B}" name="F ENTRADA" dataDxfId="65"/>
    <tableColumn id="8" xr3:uid="{629AD860-5BE4-4ED4-B86E-D00C9CF9BAC8}" name="F SALIDA" dataDxfId="64"/>
    <tableColumn id="9" xr3:uid="{90B8CED3-9FE9-4334-BE5C-F15432FCE67D}" name="ETIQUETAS" dataDxfId="63"/>
    <tableColumn id="10" xr3:uid="{008B4649-65AC-43BB-8240-FBE5807647F9}" name="CONS" dataDxfId="6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59062B-6D0C-42A1-B4AC-05CEFC522192}" name="Tabla4" displayName="Tabla4" ref="A1:F9" totalsRowShown="0" headerRowDxfId="46" dataDxfId="44" headerRowBorderDxfId="45" tableBorderDxfId="43">
  <autoFilter ref="A1:F9" xr:uid="{B559062B-6D0C-42A1-B4AC-05CEFC522192}"/>
  <tableColumns count="6">
    <tableColumn id="1" xr3:uid="{5624A351-D5D9-44DF-A528-A8E3D5970EAE}" name="FECHA/PAGO" dataDxfId="42"/>
    <tableColumn id="2" xr3:uid="{2F3719B1-5615-4C27-8CC6-4D9C47A994FF}" name="OPERACIÓN" dataDxfId="41"/>
    <tableColumn id="3" xr3:uid="{6E303380-C2B2-40A5-9443-3648BD4FC80E}" name="SERVICIO" dataDxfId="40"/>
    <tableColumn id="4" xr3:uid="{9191AA75-8F93-4A18-AC0D-CB69E1653FD2}" name="IMPORTE" dataDxfId="39"/>
    <tableColumn id="5" xr3:uid="{F47EACBD-748B-40B3-BE39-7B034E4C20CA}" name="FECHA DEL SERVICIO" dataDxfId="38"/>
    <tableColumn id="6" xr3:uid="{FA32F772-DE5A-4D17-A99F-A92A2B2854D4}" name="CLIENTE" dataDxfId="3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7C2BDD-4A35-4FC6-A19F-90484B3C76F1}" name="Tabla3" displayName="Tabla3" ref="A1:J3" totalsRowShown="0" headerRowDxfId="61" dataDxfId="59" headerRowBorderDxfId="60" tableBorderDxfId="58" totalsRowBorderDxfId="57">
  <autoFilter ref="A1:J3" xr:uid="{687C2BDD-4A35-4FC6-A19F-90484B3C76F1}"/>
  <tableColumns count="10">
    <tableColumn id="1" xr3:uid="{335BF007-CEB5-4280-8F97-8DD601B8695B}" name="DESTINO" dataDxfId="56"/>
    <tableColumn id="2" xr3:uid="{7EA8B444-49D6-41F5-A677-38A99338782F}" name="REASON CODE" dataDxfId="55"/>
    <tableColumn id="3" xr3:uid="{5EC8B07E-5464-4236-9C08-F42BF6CE47B4}" name="No DE GUIA" dataDxfId="54"/>
    <tableColumn id="4" xr3:uid="{EA287CE7-4E2E-4BDC-A970-DB5F7F20713D}" name="FECHA DE ENTRADA" dataDxfId="53"/>
    <tableColumn id="5" xr3:uid="{9597653A-F74F-41D3-8461-A79E802DFAA5}" name="CLIENTE" dataDxfId="52"/>
    <tableColumn id="6" xr3:uid="{A1BFC91E-34D3-4EE0-BA46-18DECA67703A}" name="DESCRIPCION DE LA MERCANCIA" dataDxfId="51"/>
    <tableColumn id="7" xr3:uid="{D7DCC342-E3C3-482F-BBF3-415D1AA95C6B}" name="INFORMACION DE CONTACTO" dataDxfId="50" dataCellStyle="Hipervínculo"/>
    <tableColumn id="8" xr3:uid="{02B3DF24-9385-49BB-A030-DF22EEA34CBA}" name="FECHA DE LIBERACION DE ADUANA" dataDxfId="49"/>
    <tableColumn id="9" xr3:uid="{C8BCFF0C-D7C9-4851-BBC9-986134F017E8}" name="EJECUTIVO CS A CARGO" dataDxfId="48"/>
    <tableColumn id="10" xr3:uid="{F187905F-EB4D-4103-8362-3768FAEA4F5F}" name="MES DE LIBERACION " dataDxfId="4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3532C3-253F-4DCE-B5CF-5D007B67D2B4}" name="Tabla5" displayName="Tabla5" ref="A1:M107" totalsRowShown="0" headerRowDxfId="99" dataDxfId="97" headerRowBorderDxfId="98" tableBorderDxfId="96">
  <autoFilter ref="A1:M107" xr:uid="{293532C3-253F-4DCE-B5CF-5D007B67D2B4}"/>
  <tableColumns count="13">
    <tableColumn id="1" xr3:uid="{455EEA60-DB54-4736-BA6D-8CD6E97C1637}" name="REFRENCIA" dataDxfId="95"/>
    <tableColumn id="2" xr3:uid="{2CB2FA5E-8D42-4E90-B197-F8AC765C7479}" name="NUMERO PEDIMENTO" dataDxfId="94"/>
    <tableColumn id="3" xr3:uid="{232DC06C-894C-4768-BB27-00CDBA43B46F}" name="GUÍAS" dataDxfId="93"/>
    <tableColumn id="4" xr3:uid="{7F8CE19D-E105-4E9B-9F78-ECF9DE6A867A}" name="TIPO" dataDxfId="92"/>
    <tableColumn id="5" xr3:uid="{76EA06AE-49BA-4740-B535-2F604DD41ECA}" name="CAPTURISTA" dataDxfId="91"/>
    <tableColumn id="6" xr3:uid="{75425006-1148-4E20-A8EE-19C78CB1B051}" name="CLAVE" dataDxfId="90"/>
    <tableColumn id="7" xr3:uid="{7977EC44-C09D-455A-9F43-FD6DFFC8488B}" name="CLIENTE" dataDxfId="89"/>
    <tableColumn id="8" xr3:uid="{3996587F-280A-4A14-9EC5-D371D45DD6B5}" name="F ENTRADA" dataDxfId="88"/>
    <tableColumn id="9" xr3:uid="{C8EF7CFD-F57C-4CE7-A45A-881134C5AF85}" name="F SALIDA" dataDxfId="87"/>
    <tableColumn id="10" xr3:uid="{63202B32-0884-4C97-8858-234316C50C91}" name="GUIAS2" dataDxfId="86"/>
    <tableColumn id="11" xr3:uid="{12035D57-FE35-4802-A301-1D918561A9DA}" name="BULTOS" dataDxfId="85"/>
    <tableColumn id="12" xr3:uid="{931749B6-98A0-4E21-942E-E47BF3D08DE3}" name="T OP" dataDxfId="84"/>
    <tableColumn id="13" xr3:uid="{71CE017B-73FE-4D87-9BEB-8B6B1EC1D7F8}" name="GUÍAS ¨FIS" dataDxfId="8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018D39-62B1-45E2-A347-566B016E7A73}" name="Tabla6" displayName="Tabla6" ref="A1:F21" totalsRowShown="0" headerRowDxfId="36" dataDxfId="35" dataCellStyle="Normal 20">
  <autoFilter ref="A1:F21" xr:uid="{7F018D39-62B1-45E2-A347-566B016E7A73}"/>
  <tableColumns count="6">
    <tableColumn id="1" xr3:uid="{B05AE6A1-FE29-4C5F-92E4-85B9D06C83AC}" name="NO." dataDxfId="34" dataCellStyle="Normal 20"/>
    <tableColumn id="2" xr3:uid="{F1428DD3-454E-4ED6-A920-5ADB8AB6E7E1}" name="FECHA" dataDxfId="33" dataCellStyle="Normal 20"/>
    <tableColumn id="3" xr3:uid="{73161297-8930-4F79-A1B2-704180698AEC}" name="PEDIMENTO" dataDxfId="32" dataCellStyle="Normal 20"/>
    <tableColumn id="4" xr3:uid="{FDB9D74F-0488-422C-B528-B737FA508422}" name="CONCEPTO" dataDxfId="31" dataCellStyle="Normal 20"/>
    <tableColumn id="5" xr3:uid="{E01CFA53-22C5-4D1B-8171-7B79A6FB66CE}" name="IMPORTE (MXN)" dataDxfId="30" dataCellStyle="Normal 20"/>
    <tableColumn id="6" xr3:uid="{10BF244D-5713-4B26-9616-B5790F663269}" name="NOMBRE ORIGINAL" dataDxfId="29" dataCellStyle="Normal 2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F0F937-22D8-4CA9-A287-41A21FCE3376}" name="Tabla7" displayName="Tabla7" ref="B1:E2" totalsRowShown="0" headerRowDxfId="28" dataDxfId="26" headerRowBorderDxfId="27" tableBorderDxfId="25" totalsRowBorderDxfId="24">
  <autoFilter ref="B1:E2" xr:uid="{77F0F937-22D8-4CA9-A287-41A21FCE3376}"/>
  <tableColumns count="4">
    <tableColumn id="1" xr3:uid="{2006CE24-1CAE-46EE-B354-4CF74663CCB8}" name="NÚMERO DE GUÍA" dataDxfId="23"/>
    <tableColumn id="2" xr3:uid="{9E5A6CE8-0522-448A-B492-AD29FD471F64}" name="NOMBRE DESTINATARIO" dataDxfId="22"/>
    <tableColumn id="3" xr3:uid="{F5866807-3CA1-41E3-A77A-7D60B1FAE4A9}" name="DESCRIPCIÓN DE MERCANCIAS" dataDxfId="21"/>
    <tableColumn id="4" xr3:uid="{E833D068-541D-4BCB-9898-1BCA5166B316}" name="FECHA" dataDxfId="20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5BE9C1-0D2A-4753-AEEF-CC2E3D4BFFCC}" name="Tabla8" displayName="Tabla8" ref="A1:O3" totalsRowShown="0" headerRowDxfId="19" dataDxfId="17" headerRowBorderDxfId="18" tableBorderDxfId="16" totalsRowBorderDxfId="15" headerRowCellStyle="Normal 2" dataCellStyle="Normal 2">
  <autoFilter ref="A1:O3" xr:uid="{655BE9C1-0D2A-4753-AEEF-CC2E3D4BFFCC}"/>
  <tableColumns count="15">
    <tableColumn id="1" xr3:uid="{9AF28B8C-288A-43B4-A625-1097E5DABC41}" name="REFRENCIA" dataDxfId="14" dataCellStyle="Normal 2"/>
    <tableColumn id="2" xr3:uid="{BB5B4B7A-FF94-49FD-8F09-717DA6586466}" name="CLAVE" dataDxfId="13" dataCellStyle="Normal 2"/>
    <tableColumn id="3" xr3:uid="{43ECD67E-9624-4D98-B180-DDCE2E414689}" name="CAPTURISTA" dataDxfId="12" dataCellStyle="Normal 2"/>
    <tableColumn id="4" xr3:uid="{8E68B77F-AEDB-4FF9-A75D-179DAD16C17D}" name="CLIENTES" dataDxfId="11" dataCellStyle="Normal 2"/>
    <tableColumn id="5" xr3:uid="{C466F44B-F95E-462B-98BB-13778DAB9269}" name="OPERACIÓN" dataDxfId="10" dataCellStyle="Normal 2"/>
    <tableColumn id="6" xr3:uid="{B4B4FAA5-75D9-4884-B62D-9B6374801AD1}" name="ADUANA" dataDxfId="9" dataCellStyle="Normal 2"/>
    <tableColumn id="7" xr3:uid="{EA3EE1A4-5C2A-4FA9-900B-B2FFA579F2A6}" name="PATENTE" dataDxfId="8" dataCellStyle="Normal 2"/>
    <tableColumn id="8" xr3:uid="{04C0551C-BF52-4FAE-920E-81448A745269}" name="IMPUESTO" dataDxfId="7" dataCellStyle="Normal 2"/>
    <tableColumn id="9" xr3:uid="{A87764F4-CDE6-47B9-8BBF-CB4092919BE6}" name="CARGO" dataDxfId="6" dataCellStyle="Normal 2"/>
    <tableColumn id="10" xr3:uid="{D1A8A858-F120-41FC-B4F2-DD03860D1DC5}" name="OBSERVACION" dataDxfId="5" dataCellStyle="Normal 2"/>
    <tableColumn id="11" xr3:uid="{AB0BD608-A020-47DF-82E8-1B62A2E653BA}" name="AA" dataDxfId="4" dataCellStyle="Normal 2"/>
    <tableColumn id="12" xr3:uid="{C6709CE2-9275-428C-A312-3E25B35BBB37}" name="TARIFA" dataDxfId="3" dataCellStyle="Normal 2"/>
    <tableColumn id="13" xr3:uid="{B25C8476-D8A4-4ADE-B850-8BCA02520BDA}" name="ENTRADA" dataDxfId="2" dataCellStyle="Normal 2"/>
    <tableColumn id="14" xr3:uid="{26407B64-EC52-4386-A1E0-E86DED6F059E}" name="SALIDA" dataDxfId="1" dataCellStyle="Normal 2"/>
    <tableColumn id="15" xr3:uid="{5791AE76-229C-4D90-8906-B8EBF489B87E}" name="COSTO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hyperlink" Target="mailto:luis_sh96@hotmail.com" TargetMode="External"/><Relationship Id="rId1" Type="http://schemas.openxmlformats.org/officeDocument/2006/relationships/hyperlink" Target="mailto:ilsesaurettm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A2B9-274A-4197-85C8-E36D3D40F73D}">
  <dimension ref="A1:D27"/>
  <sheetViews>
    <sheetView tabSelected="1" workbookViewId="0">
      <selection activeCell="C30" sqref="C30"/>
    </sheetView>
  </sheetViews>
  <sheetFormatPr baseColWidth="10" defaultRowHeight="14.5" x14ac:dyDescent="0.35"/>
  <cols>
    <col min="2" max="2" width="23.54296875" customWidth="1"/>
    <col min="3" max="3" width="19.1796875" customWidth="1"/>
    <col min="4" max="4" width="13" bestFit="1" customWidth="1"/>
  </cols>
  <sheetData>
    <row r="1" spans="1:4" x14ac:dyDescent="0.35">
      <c r="A1" s="1" t="s">
        <v>314</v>
      </c>
      <c r="B1" s="1" t="s">
        <v>315</v>
      </c>
      <c r="C1" s="1" t="s">
        <v>313</v>
      </c>
      <c r="D1" s="1" t="s">
        <v>316</v>
      </c>
    </row>
    <row r="2" spans="1:4" x14ac:dyDescent="0.35">
      <c r="A2" s="37">
        <v>1</v>
      </c>
      <c r="B2" s="38">
        <v>46164</v>
      </c>
      <c r="C2" s="39">
        <v>6016669</v>
      </c>
      <c r="D2" s="40">
        <v>474444885450</v>
      </c>
    </row>
    <row r="3" spans="1:4" x14ac:dyDescent="0.35">
      <c r="A3" s="37">
        <v>2</v>
      </c>
      <c r="B3" s="38">
        <v>46164</v>
      </c>
      <c r="C3" s="39">
        <v>6016670</v>
      </c>
      <c r="D3" s="40">
        <v>474444885460</v>
      </c>
    </row>
    <row r="4" spans="1:4" x14ac:dyDescent="0.35">
      <c r="A4" s="37">
        <v>3</v>
      </c>
      <c r="B4" s="38">
        <v>46154</v>
      </c>
      <c r="C4" s="39">
        <v>6016525</v>
      </c>
      <c r="D4" s="40">
        <v>474444885059</v>
      </c>
    </row>
    <row r="5" spans="1:4" x14ac:dyDescent="0.35">
      <c r="A5" s="37">
        <v>4</v>
      </c>
      <c r="B5" s="38">
        <v>46153</v>
      </c>
      <c r="C5" s="39">
        <v>6016494</v>
      </c>
      <c r="D5" s="40">
        <v>870933590051</v>
      </c>
    </row>
    <row r="6" spans="1:4" x14ac:dyDescent="0.35">
      <c r="A6" s="37">
        <v>5</v>
      </c>
      <c r="B6" s="38">
        <v>46148</v>
      </c>
      <c r="C6" s="39">
        <v>6016423</v>
      </c>
      <c r="D6" s="40">
        <v>870549148397</v>
      </c>
    </row>
    <row r="7" spans="1:4" x14ac:dyDescent="0.35">
      <c r="A7" s="37">
        <v>6</v>
      </c>
      <c r="B7" s="38">
        <v>46148</v>
      </c>
      <c r="C7" s="39">
        <v>6016429</v>
      </c>
      <c r="D7" s="40">
        <v>870834773334</v>
      </c>
    </row>
    <row r="8" spans="1:4" x14ac:dyDescent="0.35">
      <c r="A8" s="37">
        <v>7</v>
      </c>
      <c r="B8" s="38">
        <v>46149</v>
      </c>
      <c r="C8" s="39">
        <v>6016444</v>
      </c>
      <c r="D8" s="40">
        <v>380927457316</v>
      </c>
    </row>
    <row r="9" spans="1:4" x14ac:dyDescent="0.35">
      <c r="A9" s="37">
        <v>8</v>
      </c>
      <c r="B9" s="38">
        <v>46150</v>
      </c>
      <c r="C9" s="39">
        <v>6016459</v>
      </c>
      <c r="D9" s="40">
        <v>380884556614</v>
      </c>
    </row>
    <row r="10" spans="1:4" x14ac:dyDescent="0.35">
      <c r="A10" s="37">
        <v>9</v>
      </c>
      <c r="B10" s="38">
        <v>46150</v>
      </c>
      <c r="C10" s="39">
        <v>6016470</v>
      </c>
      <c r="D10" s="40">
        <v>870723781148</v>
      </c>
    </row>
    <row r="11" spans="1:4" x14ac:dyDescent="0.35">
      <c r="A11" s="37">
        <v>10</v>
      </c>
      <c r="B11" s="38">
        <v>46150</v>
      </c>
      <c r="C11" s="39">
        <v>6016476</v>
      </c>
      <c r="D11" s="40">
        <v>474444884876</v>
      </c>
    </row>
    <row r="12" spans="1:4" x14ac:dyDescent="0.35">
      <c r="A12" s="37">
        <v>11</v>
      </c>
      <c r="B12" s="38">
        <v>46150</v>
      </c>
      <c r="C12" s="39">
        <v>6016479</v>
      </c>
      <c r="D12" s="40">
        <v>474444884957</v>
      </c>
    </row>
    <row r="13" spans="1:4" x14ac:dyDescent="0.35">
      <c r="A13" s="37">
        <v>12</v>
      </c>
      <c r="B13" s="38">
        <v>46153</v>
      </c>
      <c r="C13" s="39">
        <v>6016520</v>
      </c>
      <c r="D13" s="40">
        <v>871154368984</v>
      </c>
    </row>
    <row r="14" spans="1:4" x14ac:dyDescent="0.35">
      <c r="A14" s="37">
        <v>13</v>
      </c>
      <c r="B14" s="38">
        <v>46156</v>
      </c>
      <c r="C14" s="39">
        <v>6016563</v>
      </c>
      <c r="D14" s="40">
        <v>474444885243</v>
      </c>
    </row>
    <row r="15" spans="1:4" x14ac:dyDescent="0.35">
      <c r="A15" s="37">
        <v>14</v>
      </c>
      <c r="B15" s="38">
        <v>46157</v>
      </c>
      <c r="C15" s="39">
        <v>6016582</v>
      </c>
      <c r="D15" s="40">
        <v>474444885200</v>
      </c>
    </row>
    <row r="16" spans="1:4" x14ac:dyDescent="0.35">
      <c r="A16" s="37">
        <v>15</v>
      </c>
      <c r="B16" s="38">
        <v>46163</v>
      </c>
      <c r="C16" s="39">
        <v>6016600</v>
      </c>
      <c r="D16" s="40">
        <v>871203789584</v>
      </c>
    </row>
    <row r="17" spans="1:4" x14ac:dyDescent="0.35">
      <c r="A17" s="37">
        <v>16</v>
      </c>
      <c r="B17" s="38">
        <v>46163</v>
      </c>
      <c r="C17" s="39">
        <v>6016638</v>
      </c>
      <c r="D17" s="40">
        <v>871245663588</v>
      </c>
    </row>
    <row r="18" spans="1:4" x14ac:dyDescent="0.35">
      <c r="A18" s="37">
        <v>17</v>
      </c>
      <c r="B18" s="38">
        <v>46156</v>
      </c>
      <c r="C18" s="39">
        <v>6016377</v>
      </c>
      <c r="D18" s="40">
        <v>870680404660</v>
      </c>
    </row>
    <row r="19" spans="1:4" x14ac:dyDescent="0.35">
      <c r="A19" s="37">
        <v>18</v>
      </c>
      <c r="B19" s="38">
        <v>46149</v>
      </c>
      <c r="C19" s="39">
        <v>6016460</v>
      </c>
      <c r="D19" s="40">
        <v>871033837040</v>
      </c>
    </row>
    <row r="20" spans="1:4" x14ac:dyDescent="0.35">
      <c r="A20" s="37">
        <v>19</v>
      </c>
      <c r="B20" s="38">
        <v>46154</v>
      </c>
      <c r="C20" s="39">
        <v>6016515</v>
      </c>
      <c r="D20" s="40">
        <v>381073678538</v>
      </c>
    </row>
    <row r="21" spans="1:4" x14ac:dyDescent="0.35">
      <c r="A21" s="37">
        <v>20</v>
      </c>
      <c r="B21" s="38">
        <v>46162</v>
      </c>
      <c r="C21" s="39">
        <v>6016560</v>
      </c>
      <c r="D21" s="40">
        <v>871097401759</v>
      </c>
    </row>
    <row r="22" spans="1:4" x14ac:dyDescent="0.35">
      <c r="A22" s="37">
        <v>21</v>
      </c>
      <c r="B22" s="38">
        <v>46157</v>
      </c>
      <c r="C22" s="39">
        <v>6016580</v>
      </c>
      <c r="D22" s="40">
        <v>871089103733</v>
      </c>
    </row>
    <row r="23" spans="1:4" x14ac:dyDescent="0.35">
      <c r="A23" s="37">
        <v>22</v>
      </c>
      <c r="B23" s="38">
        <v>46164</v>
      </c>
      <c r="C23" s="39">
        <v>6016668</v>
      </c>
      <c r="D23" s="40">
        <v>871413234856</v>
      </c>
    </row>
    <row r="24" spans="1:4" x14ac:dyDescent="0.35">
      <c r="A24" s="37">
        <v>23</v>
      </c>
      <c r="B24" s="38">
        <v>46148</v>
      </c>
      <c r="C24" s="39">
        <v>6016386</v>
      </c>
      <c r="D24" s="40">
        <v>512103070900</v>
      </c>
    </row>
    <row r="25" spans="1:4" x14ac:dyDescent="0.35">
      <c r="A25" s="37">
        <v>24</v>
      </c>
      <c r="B25" s="38">
        <v>46164</v>
      </c>
      <c r="C25" s="39">
        <v>6016635</v>
      </c>
      <c r="D25" s="40">
        <v>513941295563</v>
      </c>
    </row>
    <row r="26" spans="1:4" x14ac:dyDescent="0.35">
      <c r="A26" s="37">
        <v>25</v>
      </c>
      <c r="B26" s="38">
        <v>46164</v>
      </c>
      <c r="C26" s="39">
        <v>6016727</v>
      </c>
      <c r="D26" s="40">
        <v>871926432602</v>
      </c>
    </row>
    <row r="27" spans="1:4" x14ac:dyDescent="0.35">
      <c r="A27" s="41">
        <v>26</v>
      </c>
      <c r="B27" s="42">
        <v>46156</v>
      </c>
      <c r="C27" s="43">
        <v>6016545</v>
      </c>
      <c r="D27" s="44">
        <v>871239793989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C8EF-CF94-4C8C-BAC0-E8AAC3D68659}">
  <dimension ref="A1:J12"/>
  <sheetViews>
    <sheetView zoomScale="80" zoomScaleNormal="80" workbookViewId="0">
      <selection activeCell="C29" sqref="C29"/>
    </sheetView>
  </sheetViews>
  <sheetFormatPr baseColWidth="10" defaultRowHeight="14.5" x14ac:dyDescent="0.35"/>
  <cols>
    <col min="1" max="1" width="14.81640625" bestFit="1" customWidth="1"/>
    <col min="2" max="2" width="23.453125" bestFit="1" customWidth="1"/>
    <col min="4" max="4" width="15.81640625" bestFit="1" customWidth="1"/>
    <col min="6" max="6" width="47.6328125" bestFit="1" customWidth="1"/>
    <col min="7" max="7" width="12.81640625" bestFit="1" customWidth="1"/>
  </cols>
  <sheetData>
    <row r="1" spans="1:10" s="7" customFormat="1" ht="12" x14ac:dyDescent="0.3">
      <c r="A1" s="1" t="s">
        <v>0</v>
      </c>
      <c r="B1" s="1" t="s">
        <v>100</v>
      </c>
      <c r="C1" s="1" t="s">
        <v>101</v>
      </c>
      <c r="D1" s="1" t="s">
        <v>2</v>
      </c>
      <c r="E1" s="1" t="s">
        <v>1</v>
      </c>
      <c r="F1" s="1" t="s">
        <v>102</v>
      </c>
      <c r="G1" s="1" t="s">
        <v>317</v>
      </c>
      <c r="H1" s="1" t="s">
        <v>318</v>
      </c>
      <c r="I1" s="1" t="s">
        <v>296</v>
      </c>
      <c r="J1" s="1" t="s">
        <v>319</v>
      </c>
    </row>
    <row r="2" spans="1:10" s="7" customFormat="1" ht="12" x14ac:dyDescent="0.3">
      <c r="A2" s="12" t="s">
        <v>206</v>
      </c>
      <c r="B2" s="12">
        <v>6016599</v>
      </c>
      <c r="C2" s="12" t="s">
        <v>16</v>
      </c>
      <c r="D2" s="12" t="s">
        <v>112</v>
      </c>
      <c r="E2" s="12" t="s">
        <v>108</v>
      </c>
      <c r="F2" s="12" t="s">
        <v>207</v>
      </c>
      <c r="G2" s="13">
        <v>46153</v>
      </c>
      <c r="H2" s="13">
        <v>46160</v>
      </c>
      <c r="I2" s="12">
        <v>220</v>
      </c>
      <c r="J2" s="12">
        <v>1</v>
      </c>
    </row>
    <row r="3" spans="1:10" s="7" customFormat="1" ht="12" x14ac:dyDescent="0.3">
      <c r="A3" s="12" t="s">
        <v>297</v>
      </c>
      <c r="B3" s="12">
        <v>6016644</v>
      </c>
      <c r="C3" s="12" t="s">
        <v>16</v>
      </c>
      <c r="D3" s="12" t="s">
        <v>152</v>
      </c>
      <c r="E3" s="12" t="s">
        <v>108</v>
      </c>
      <c r="F3" s="12" t="s">
        <v>298</v>
      </c>
      <c r="G3" s="13">
        <v>46160</v>
      </c>
      <c r="H3" s="13">
        <v>46163</v>
      </c>
      <c r="I3" s="12">
        <v>100</v>
      </c>
      <c r="J3" s="12">
        <v>1</v>
      </c>
    </row>
    <row r="4" spans="1:10" s="7" customFormat="1" ht="12" x14ac:dyDescent="0.3">
      <c r="A4" s="12" t="s">
        <v>299</v>
      </c>
      <c r="B4" s="12">
        <v>6016579</v>
      </c>
      <c r="C4" s="12" t="s">
        <v>16</v>
      </c>
      <c r="D4" s="12" t="s">
        <v>112</v>
      </c>
      <c r="E4" s="12" t="s">
        <v>108</v>
      </c>
      <c r="F4" s="12" t="s">
        <v>300</v>
      </c>
      <c r="G4" s="13">
        <v>46153</v>
      </c>
      <c r="H4" s="13">
        <v>46160</v>
      </c>
      <c r="I4" s="12">
        <v>90</v>
      </c>
      <c r="J4" s="12">
        <v>1</v>
      </c>
    </row>
    <row r="5" spans="1:10" s="7" customFormat="1" ht="12" x14ac:dyDescent="0.3">
      <c r="A5" s="12" t="s">
        <v>221</v>
      </c>
      <c r="B5" s="12">
        <v>6016645</v>
      </c>
      <c r="C5" s="12" t="s">
        <v>16</v>
      </c>
      <c r="D5" s="12" t="s">
        <v>107</v>
      </c>
      <c r="E5" s="12" t="s">
        <v>108</v>
      </c>
      <c r="F5" s="12" t="s">
        <v>222</v>
      </c>
      <c r="G5" s="13">
        <v>46160</v>
      </c>
      <c r="H5" s="13">
        <v>46163</v>
      </c>
      <c r="I5" s="12">
        <v>80</v>
      </c>
      <c r="J5" s="12">
        <v>1</v>
      </c>
    </row>
    <row r="6" spans="1:10" s="7" customFormat="1" ht="12" x14ac:dyDescent="0.3">
      <c r="A6" s="12" t="s">
        <v>301</v>
      </c>
      <c r="B6" s="12">
        <v>6016437</v>
      </c>
      <c r="C6" s="12" t="s">
        <v>16</v>
      </c>
      <c r="D6" s="12" t="s">
        <v>120</v>
      </c>
      <c r="E6" s="12" t="s">
        <v>108</v>
      </c>
      <c r="F6" s="12" t="s">
        <v>302</v>
      </c>
      <c r="G6" s="13">
        <v>46141</v>
      </c>
      <c r="H6" s="13">
        <v>46149</v>
      </c>
      <c r="I6" s="12">
        <v>78</v>
      </c>
      <c r="J6" s="12">
        <v>1</v>
      </c>
    </row>
    <row r="7" spans="1:10" s="7" customFormat="1" ht="12" x14ac:dyDescent="0.3">
      <c r="A7" s="12" t="s">
        <v>172</v>
      </c>
      <c r="B7" s="12">
        <v>6016524</v>
      </c>
      <c r="C7" s="12" t="s">
        <v>16</v>
      </c>
      <c r="D7" s="12" t="s">
        <v>112</v>
      </c>
      <c r="E7" s="12" t="s">
        <v>108</v>
      </c>
      <c r="F7" s="12" t="s">
        <v>173</v>
      </c>
      <c r="G7" s="13">
        <v>46141</v>
      </c>
      <c r="H7" s="13">
        <v>46155</v>
      </c>
      <c r="I7" s="12">
        <v>70</v>
      </c>
      <c r="J7" s="12">
        <v>1</v>
      </c>
    </row>
    <row r="8" spans="1:10" s="7" customFormat="1" ht="12" x14ac:dyDescent="0.3">
      <c r="A8" s="12" t="s">
        <v>303</v>
      </c>
      <c r="B8" s="12">
        <v>6016517</v>
      </c>
      <c r="C8" s="12" t="s">
        <v>16</v>
      </c>
      <c r="D8" s="12" t="s">
        <v>152</v>
      </c>
      <c r="E8" s="12" t="s">
        <v>108</v>
      </c>
      <c r="F8" s="12" t="s">
        <v>302</v>
      </c>
      <c r="G8" s="13">
        <v>46153</v>
      </c>
      <c r="H8" s="13">
        <v>46156</v>
      </c>
      <c r="I8" s="12">
        <v>55</v>
      </c>
      <c r="J8" s="12">
        <v>1</v>
      </c>
    </row>
    <row r="9" spans="1:10" s="7" customFormat="1" ht="12" x14ac:dyDescent="0.3">
      <c r="A9" s="12" t="s">
        <v>139</v>
      </c>
      <c r="B9" s="12">
        <v>6016430</v>
      </c>
      <c r="C9" s="12" t="s">
        <v>16</v>
      </c>
      <c r="D9" s="12" t="s">
        <v>107</v>
      </c>
      <c r="E9" s="12" t="s">
        <v>108</v>
      </c>
      <c r="F9" s="12" t="s">
        <v>140</v>
      </c>
      <c r="G9" s="13">
        <v>46146</v>
      </c>
      <c r="H9" s="13">
        <v>46147</v>
      </c>
      <c r="I9" s="12">
        <v>10</v>
      </c>
      <c r="J9" s="12">
        <v>1</v>
      </c>
    </row>
    <row r="10" spans="1:10" s="7" customFormat="1" ht="12" x14ac:dyDescent="0.3">
      <c r="A10" s="12" t="s">
        <v>304</v>
      </c>
      <c r="B10" s="12">
        <v>6016456</v>
      </c>
      <c r="C10" s="12" t="s">
        <v>16</v>
      </c>
      <c r="D10" s="12" t="s">
        <v>112</v>
      </c>
      <c r="E10" s="12" t="s">
        <v>108</v>
      </c>
      <c r="F10" s="12" t="s">
        <v>18</v>
      </c>
      <c r="G10" s="13">
        <v>46146</v>
      </c>
      <c r="H10" s="13">
        <v>46151</v>
      </c>
      <c r="I10" s="12">
        <v>8</v>
      </c>
      <c r="J10" s="12">
        <v>1</v>
      </c>
    </row>
    <row r="11" spans="1:10" s="7" customFormat="1" ht="12" x14ac:dyDescent="0.3">
      <c r="A11" s="12" t="s">
        <v>185</v>
      </c>
      <c r="B11" s="12">
        <v>6016554</v>
      </c>
      <c r="C11" s="12" t="s">
        <v>16</v>
      </c>
      <c r="D11" s="12" t="s">
        <v>107</v>
      </c>
      <c r="E11" s="12" t="s">
        <v>108</v>
      </c>
      <c r="F11" s="12" t="s">
        <v>140</v>
      </c>
      <c r="G11" s="13">
        <v>46150</v>
      </c>
      <c r="H11" s="13">
        <v>46155</v>
      </c>
      <c r="I11" s="12">
        <v>3</v>
      </c>
      <c r="J11" s="12">
        <v>1</v>
      </c>
    </row>
    <row r="12" spans="1:10" s="7" customFormat="1" ht="12" x14ac:dyDescent="0.3">
      <c r="A12" s="17"/>
      <c r="B12" s="17"/>
      <c r="C12" s="17"/>
      <c r="D12" s="17"/>
      <c r="E12" s="17"/>
      <c r="F12" s="17"/>
      <c r="G12" s="17"/>
      <c r="H12" s="17"/>
      <c r="I12" s="12">
        <v>714</v>
      </c>
      <c r="J12" s="12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F962-8D0F-41DA-86C5-9BAC1715DC0D}">
  <dimension ref="A1:F9"/>
  <sheetViews>
    <sheetView workbookViewId="0">
      <selection activeCell="C28" sqref="C28"/>
    </sheetView>
  </sheetViews>
  <sheetFormatPr baseColWidth="10" defaultRowHeight="14.5" x14ac:dyDescent="0.35"/>
  <cols>
    <col min="1" max="1" width="16" bestFit="1" customWidth="1"/>
    <col min="2" max="2" width="15.1796875" bestFit="1" customWidth="1"/>
    <col min="3" max="3" width="13.08984375" bestFit="1" customWidth="1"/>
    <col min="4" max="4" width="13" bestFit="1" customWidth="1"/>
    <col min="5" max="5" width="23" bestFit="1" customWidth="1"/>
    <col min="6" max="6" width="12.453125" bestFit="1" customWidth="1"/>
  </cols>
  <sheetData>
    <row r="1" spans="1:6" s="7" customFormat="1" ht="12" x14ac:dyDescent="0.3">
      <c r="A1" s="1" t="s">
        <v>267</v>
      </c>
      <c r="B1" s="1" t="s">
        <v>4</v>
      </c>
      <c r="C1" s="1" t="s">
        <v>320</v>
      </c>
      <c r="D1" s="1" t="s">
        <v>321</v>
      </c>
      <c r="E1" s="1" t="s">
        <v>322</v>
      </c>
      <c r="F1" s="1" t="s">
        <v>102</v>
      </c>
    </row>
    <row r="2" spans="1:6" s="7" customFormat="1" ht="12" x14ac:dyDescent="0.3">
      <c r="A2" s="13">
        <v>46142</v>
      </c>
      <c r="B2" s="12" t="s">
        <v>268</v>
      </c>
      <c r="C2" s="12">
        <v>1</v>
      </c>
      <c r="D2" s="12" t="s">
        <v>269</v>
      </c>
      <c r="E2" s="13">
        <v>46147</v>
      </c>
      <c r="F2" s="12" t="s">
        <v>270</v>
      </c>
    </row>
    <row r="3" spans="1:6" s="7" customFormat="1" ht="12" x14ac:dyDescent="0.3">
      <c r="A3" s="13">
        <v>46142</v>
      </c>
      <c r="B3" s="12" t="s">
        <v>271</v>
      </c>
      <c r="C3" s="12">
        <v>1</v>
      </c>
      <c r="D3" s="12" t="s">
        <v>269</v>
      </c>
      <c r="E3" s="13">
        <v>46147</v>
      </c>
      <c r="F3" s="12" t="s">
        <v>270</v>
      </c>
    </row>
    <row r="4" spans="1:6" s="7" customFormat="1" ht="12" x14ac:dyDescent="0.3">
      <c r="A4" s="13">
        <v>46142</v>
      </c>
      <c r="B4" s="12" t="s">
        <v>271</v>
      </c>
      <c r="C4" s="12">
        <v>1</v>
      </c>
      <c r="D4" s="12" t="s">
        <v>269</v>
      </c>
      <c r="E4" s="13">
        <v>46147</v>
      </c>
      <c r="F4" s="12" t="s">
        <v>272</v>
      </c>
    </row>
    <row r="5" spans="1:6" s="7" customFormat="1" ht="12" x14ac:dyDescent="0.3">
      <c r="A5" s="13">
        <v>46142</v>
      </c>
      <c r="B5" s="12" t="s">
        <v>271</v>
      </c>
      <c r="C5" s="12">
        <v>1</v>
      </c>
      <c r="D5" s="12" t="s">
        <v>269</v>
      </c>
      <c r="E5" s="13">
        <v>46147</v>
      </c>
      <c r="F5" s="12" t="s">
        <v>273</v>
      </c>
    </row>
    <row r="6" spans="1:6" s="7" customFormat="1" ht="12" x14ac:dyDescent="0.3">
      <c r="A6" s="13">
        <v>46142</v>
      </c>
      <c r="B6" s="12" t="s">
        <v>271</v>
      </c>
      <c r="C6" s="12">
        <v>1</v>
      </c>
      <c r="D6" s="12" t="s">
        <v>269</v>
      </c>
      <c r="E6" s="13">
        <v>46147</v>
      </c>
      <c r="F6" s="12" t="s">
        <v>274</v>
      </c>
    </row>
    <row r="7" spans="1:6" s="7" customFormat="1" ht="12" x14ac:dyDescent="0.3">
      <c r="A7" s="13">
        <v>46142</v>
      </c>
      <c r="B7" s="12" t="s">
        <v>271</v>
      </c>
      <c r="C7" s="12">
        <v>1</v>
      </c>
      <c r="D7" s="12" t="s">
        <v>269</v>
      </c>
      <c r="E7" s="13">
        <v>46147</v>
      </c>
      <c r="F7" s="12" t="s">
        <v>275</v>
      </c>
    </row>
    <row r="8" spans="1:6" s="7" customFormat="1" ht="12" x14ac:dyDescent="0.3">
      <c r="A8" s="13">
        <v>46199</v>
      </c>
      <c r="B8" s="12" t="s">
        <v>268</v>
      </c>
      <c r="C8" s="12">
        <v>1</v>
      </c>
      <c r="D8" s="12" t="s">
        <v>269</v>
      </c>
      <c r="E8" s="13">
        <v>46199</v>
      </c>
      <c r="F8" s="12" t="s">
        <v>270</v>
      </c>
    </row>
    <row r="9" spans="1:6" s="7" customFormat="1" ht="12" x14ac:dyDescent="0.3">
      <c r="A9" s="17"/>
      <c r="B9" s="17"/>
      <c r="C9" s="28">
        <f>SUM(C2:C8)</f>
        <v>7</v>
      </c>
      <c r="D9" s="12" t="s">
        <v>276</v>
      </c>
      <c r="E9" s="17"/>
      <c r="F9" s="1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C1E6-8490-46ED-81E1-818F201A07A6}">
  <dimension ref="A1:J3"/>
  <sheetViews>
    <sheetView workbookViewId="0">
      <selection activeCell="B28" sqref="B28"/>
    </sheetView>
  </sheetViews>
  <sheetFormatPr baseColWidth="10" defaultRowHeight="14.5" x14ac:dyDescent="0.35"/>
  <cols>
    <col min="1" max="1" width="14.6328125" bestFit="1" customWidth="1"/>
    <col min="2" max="2" width="17.54296875" bestFit="1" customWidth="1"/>
    <col min="3" max="3" width="14.6328125" bestFit="1" customWidth="1"/>
    <col min="4" max="4" width="16.6328125" customWidth="1"/>
    <col min="5" max="5" width="23.453125" customWidth="1"/>
    <col min="6" max="6" width="32.81640625" bestFit="1" customWidth="1"/>
    <col min="7" max="7" width="30.08984375" bestFit="1" customWidth="1"/>
    <col min="8" max="8" width="34.453125" bestFit="1" customWidth="1"/>
    <col min="9" max="9" width="25.6328125" bestFit="1" customWidth="1"/>
    <col min="10" max="10" width="22.90625" bestFit="1" customWidth="1"/>
  </cols>
  <sheetData>
    <row r="1" spans="1:10" s="7" customFormat="1" ht="12" customHeight="1" x14ac:dyDescent="0.3">
      <c r="A1" s="1" t="s">
        <v>277</v>
      </c>
      <c r="B1" s="1" t="s">
        <v>278</v>
      </c>
      <c r="C1" s="1" t="s">
        <v>279</v>
      </c>
      <c r="D1" s="1" t="s">
        <v>280</v>
      </c>
      <c r="E1" s="1" t="s">
        <v>102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  <row r="2" spans="1:10" s="7" customFormat="1" ht="12" customHeight="1" x14ac:dyDescent="0.3">
      <c r="A2" s="29" t="s">
        <v>286</v>
      </c>
      <c r="B2" s="12" t="s">
        <v>287</v>
      </c>
      <c r="C2" s="14">
        <v>870663359054</v>
      </c>
      <c r="D2" s="13">
        <v>46134</v>
      </c>
      <c r="E2" s="15" t="s">
        <v>288</v>
      </c>
      <c r="F2" s="12" t="s">
        <v>289</v>
      </c>
      <c r="G2" s="30" t="s">
        <v>290</v>
      </c>
      <c r="H2" s="13">
        <v>46149</v>
      </c>
      <c r="I2" s="12" t="s">
        <v>291</v>
      </c>
      <c r="J2" s="31" t="s">
        <v>292</v>
      </c>
    </row>
    <row r="3" spans="1:10" s="7" customFormat="1" ht="12" customHeight="1" x14ac:dyDescent="0.3">
      <c r="A3" s="24" t="s">
        <v>293</v>
      </c>
      <c r="B3" s="25" t="s">
        <v>287</v>
      </c>
      <c r="C3" s="32">
        <v>871919771823</v>
      </c>
      <c r="D3" s="33">
        <v>46163</v>
      </c>
      <c r="E3" s="34" t="s">
        <v>294</v>
      </c>
      <c r="F3" s="25" t="s">
        <v>289</v>
      </c>
      <c r="G3" s="35" t="s">
        <v>295</v>
      </c>
      <c r="H3" s="33">
        <v>46169</v>
      </c>
      <c r="I3" s="25" t="s">
        <v>291</v>
      </c>
      <c r="J3" s="36" t="s">
        <v>292</v>
      </c>
    </row>
  </sheetData>
  <hyperlinks>
    <hyperlink ref="G2" r:id="rId1" display="mailto:ilsesaurettm@gmail.com" xr:uid="{E795FC3B-810F-4D0D-BA17-E00C233BDFA0}"/>
    <hyperlink ref="G3" r:id="rId2" display="mailto:luis_sh96@hotmail.com" xr:uid="{E2C23F9A-DF0A-4CBA-9192-56613C647F0E}"/>
  </hyperlinks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3A6F-1860-47AC-A078-2078CD9203EC}">
  <dimension ref="A1:M107"/>
  <sheetViews>
    <sheetView topLeftCell="F1" zoomScale="93" workbookViewId="0">
      <selection activeCell="K20" sqref="K20"/>
    </sheetView>
  </sheetViews>
  <sheetFormatPr baseColWidth="10" defaultColWidth="11.54296875" defaultRowHeight="11.5" x14ac:dyDescent="0.25"/>
  <cols>
    <col min="1" max="1" width="11.54296875" style="11"/>
    <col min="2" max="2" width="18" style="11" customWidth="1"/>
    <col min="3" max="3" width="50.1796875" style="11" customWidth="1"/>
    <col min="4" max="4" width="11.54296875" style="11"/>
    <col min="5" max="5" width="12.08984375" style="11" customWidth="1"/>
    <col min="6" max="6" width="11.54296875" style="11"/>
    <col min="7" max="7" width="56" style="11" bestFit="1" customWidth="1"/>
    <col min="8" max="16384" width="11.54296875" style="11"/>
  </cols>
  <sheetData>
    <row r="1" spans="1:13" x14ac:dyDescent="0.25">
      <c r="A1" s="2" t="s">
        <v>0</v>
      </c>
      <c r="B1" s="3" t="s">
        <v>100</v>
      </c>
      <c r="C1" s="3" t="s">
        <v>323</v>
      </c>
      <c r="D1" s="3" t="s">
        <v>101</v>
      </c>
      <c r="E1" s="3" t="s">
        <v>2</v>
      </c>
      <c r="F1" s="3" t="s">
        <v>1</v>
      </c>
      <c r="G1" s="3" t="s">
        <v>102</v>
      </c>
      <c r="H1" s="3" t="s">
        <v>317</v>
      </c>
      <c r="I1" s="3" t="s">
        <v>318</v>
      </c>
      <c r="J1" s="3" t="s">
        <v>305</v>
      </c>
      <c r="K1" s="3" t="s">
        <v>103</v>
      </c>
      <c r="L1" s="3" t="s">
        <v>104</v>
      </c>
      <c r="M1" s="3" t="s">
        <v>324</v>
      </c>
    </row>
    <row r="2" spans="1:13" x14ac:dyDescent="0.25">
      <c r="A2" s="12" t="s">
        <v>105</v>
      </c>
      <c r="B2" s="12">
        <v>6002018</v>
      </c>
      <c r="C2" s="12" t="s">
        <v>106</v>
      </c>
      <c r="D2" s="12" t="s">
        <v>16</v>
      </c>
      <c r="E2" s="12" t="s">
        <v>107</v>
      </c>
      <c r="F2" s="12" t="s">
        <v>108</v>
      </c>
      <c r="G2" s="12" t="s">
        <v>109</v>
      </c>
      <c r="H2" s="13">
        <v>46157</v>
      </c>
      <c r="I2" s="13">
        <v>46162</v>
      </c>
      <c r="J2" s="12">
        <v>1</v>
      </c>
      <c r="K2" s="12">
        <v>2</v>
      </c>
      <c r="L2" s="12" t="s">
        <v>19</v>
      </c>
      <c r="M2" s="12">
        <v>1</v>
      </c>
    </row>
    <row r="3" spans="1:13" x14ac:dyDescent="0.25">
      <c r="A3" s="12" t="s">
        <v>110</v>
      </c>
      <c r="B3" s="12">
        <v>6016377</v>
      </c>
      <c r="C3" s="12" t="s">
        <v>111</v>
      </c>
      <c r="D3" s="12" t="s">
        <v>16</v>
      </c>
      <c r="E3" s="12" t="s">
        <v>112</v>
      </c>
      <c r="F3" s="12" t="s">
        <v>108</v>
      </c>
      <c r="G3" s="12" t="s">
        <v>113</v>
      </c>
      <c r="H3" s="13">
        <v>46133</v>
      </c>
      <c r="I3" s="13">
        <v>46156</v>
      </c>
      <c r="J3" s="12">
        <v>1</v>
      </c>
      <c r="K3" s="12">
        <v>1</v>
      </c>
      <c r="L3" s="12" t="s">
        <v>19</v>
      </c>
      <c r="M3" s="12">
        <v>1</v>
      </c>
    </row>
    <row r="4" spans="1:13" x14ac:dyDescent="0.25">
      <c r="A4" s="12" t="s">
        <v>114</v>
      </c>
      <c r="B4" s="12">
        <v>6016379</v>
      </c>
      <c r="C4" s="12" t="s">
        <v>115</v>
      </c>
      <c r="D4" s="12" t="s">
        <v>16</v>
      </c>
      <c r="E4" s="12" t="s">
        <v>107</v>
      </c>
      <c r="F4" s="12" t="s">
        <v>108</v>
      </c>
      <c r="G4" s="12" t="s">
        <v>116</v>
      </c>
      <c r="H4" s="13">
        <v>46139</v>
      </c>
      <c r="I4" s="13">
        <v>46146</v>
      </c>
      <c r="J4" s="12">
        <v>1</v>
      </c>
      <c r="K4" s="12">
        <v>1</v>
      </c>
      <c r="L4" s="12" t="s">
        <v>19</v>
      </c>
      <c r="M4" s="12">
        <v>1</v>
      </c>
    </row>
    <row r="5" spans="1:13" x14ac:dyDescent="0.25">
      <c r="A5" s="12" t="s">
        <v>117</v>
      </c>
      <c r="B5" s="12">
        <v>6016382</v>
      </c>
      <c r="C5" s="14">
        <v>870648014256</v>
      </c>
      <c r="D5" s="12" t="s">
        <v>16</v>
      </c>
      <c r="E5" s="12" t="s">
        <v>112</v>
      </c>
      <c r="F5" s="12" t="s">
        <v>108</v>
      </c>
      <c r="G5" s="12" t="s">
        <v>118</v>
      </c>
      <c r="H5" s="13">
        <v>46140</v>
      </c>
      <c r="I5" s="13">
        <v>46146</v>
      </c>
      <c r="J5" s="12">
        <v>1</v>
      </c>
      <c r="K5" s="12">
        <v>1</v>
      </c>
      <c r="L5" s="12" t="s">
        <v>19</v>
      </c>
      <c r="M5" s="12">
        <v>1</v>
      </c>
    </row>
    <row r="6" spans="1:13" x14ac:dyDescent="0.25">
      <c r="A6" s="12" t="s">
        <v>119</v>
      </c>
      <c r="B6" s="12">
        <v>6016385</v>
      </c>
      <c r="C6" s="14">
        <v>870421515596</v>
      </c>
      <c r="D6" s="12" t="s">
        <v>16</v>
      </c>
      <c r="E6" s="12" t="s">
        <v>120</v>
      </c>
      <c r="F6" s="12" t="s">
        <v>108</v>
      </c>
      <c r="G6" s="12" t="s">
        <v>121</v>
      </c>
      <c r="H6" s="13">
        <v>46129</v>
      </c>
      <c r="I6" s="13">
        <v>46148</v>
      </c>
      <c r="J6" s="12">
        <v>1</v>
      </c>
      <c r="K6" s="12">
        <v>3</v>
      </c>
      <c r="L6" s="12" t="s">
        <v>19</v>
      </c>
      <c r="M6" s="12">
        <v>1</v>
      </c>
    </row>
    <row r="7" spans="1:13" x14ac:dyDescent="0.25">
      <c r="A7" s="12" t="s">
        <v>122</v>
      </c>
      <c r="B7" s="12">
        <v>6016386</v>
      </c>
      <c r="C7" s="14">
        <v>512103070900</v>
      </c>
      <c r="D7" s="12" t="s">
        <v>16</v>
      </c>
      <c r="E7" s="12" t="s">
        <v>17</v>
      </c>
      <c r="F7" s="12" t="s">
        <v>108</v>
      </c>
      <c r="G7" s="12" t="s">
        <v>113</v>
      </c>
      <c r="H7" s="13">
        <v>46135</v>
      </c>
      <c r="I7" s="13">
        <v>46148</v>
      </c>
      <c r="J7" s="12">
        <v>1</v>
      </c>
      <c r="K7" s="12">
        <v>3</v>
      </c>
      <c r="L7" s="12" t="s">
        <v>19</v>
      </c>
      <c r="M7" s="12">
        <v>1</v>
      </c>
    </row>
    <row r="8" spans="1:13" x14ac:dyDescent="0.25">
      <c r="A8" s="12" t="s">
        <v>123</v>
      </c>
      <c r="B8" s="12">
        <v>6016390</v>
      </c>
      <c r="C8" s="14">
        <v>457208398840</v>
      </c>
      <c r="D8" s="12" t="s">
        <v>16</v>
      </c>
      <c r="E8" s="12" t="s">
        <v>120</v>
      </c>
      <c r="F8" s="12" t="s">
        <v>108</v>
      </c>
      <c r="G8" s="12" t="s">
        <v>124</v>
      </c>
      <c r="H8" s="13">
        <v>46141</v>
      </c>
      <c r="I8" s="13">
        <v>46146</v>
      </c>
      <c r="J8" s="12">
        <v>1</v>
      </c>
      <c r="K8" s="12">
        <v>2</v>
      </c>
      <c r="L8" s="12" t="s">
        <v>19</v>
      </c>
      <c r="M8" s="12">
        <v>1</v>
      </c>
    </row>
    <row r="9" spans="1:13" x14ac:dyDescent="0.25">
      <c r="A9" s="12" t="s">
        <v>125</v>
      </c>
      <c r="B9" s="12">
        <v>6016392</v>
      </c>
      <c r="C9" s="14">
        <v>870979564571</v>
      </c>
      <c r="D9" s="12" t="s">
        <v>16</v>
      </c>
      <c r="E9" s="12" t="s">
        <v>107</v>
      </c>
      <c r="F9" s="12" t="s">
        <v>108</v>
      </c>
      <c r="G9" s="12" t="s">
        <v>126</v>
      </c>
      <c r="H9" s="13">
        <v>46139</v>
      </c>
      <c r="I9" s="13">
        <v>46146</v>
      </c>
      <c r="J9" s="12">
        <v>1</v>
      </c>
      <c r="K9" s="12">
        <v>2</v>
      </c>
      <c r="L9" s="12" t="s">
        <v>19</v>
      </c>
      <c r="M9" s="12">
        <v>1</v>
      </c>
    </row>
    <row r="10" spans="1:13" x14ac:dyDescent="0.25">
      <c r="A10" s="12" t="s">
        <v>127</v>
      </c>
      <c r="B10" s="12">
        <v>6016402</v>
      </c>
      <c r="C10" s="14">
        <v>870933424632</v>
      </c>
      <c r="D10" s="12" t="s">
        <v>16</v>
      </c>
      <c r="E10" s="12" t="s">
        <v>112</v>
      </c>
      <c r="F10" s="12" t="s">
        <v>108</v>
      </c>
      <c r="G10" s="12" t="s">
        <v>118</v>
      </c>
      <c r="H10" s="13">
        <v>46139</v>
      </c>
      <c r="I10" s="13">
        <v>46148</v>
      </c>
      <c r="J10" s="12">
        <v>1</v>
      </c>
      <c r="K10" s="12">
        <v>2</v>
      </c>
      <c r="L10" s="12" t="s">
        <v>19</v>
      </c>
      <c r="M10" s="12">
        <v>1</v>
      </c>
    </row>
    <row r="11" spans="1:13" x14ac:dyDescent="0.25">
      <c r="A11" s="12" t="s">
        <v>128</v>
      </c>
      <c r="B11" s="12">
        <v>6016418</v>
      </c>
      <c r="C11" s="14">
        <v>870993283344</v>
      </c>
      <c r="D11" s="12" t="s">
        <v>16</v>
      </c>
      <c r="E11" s="12" t="s">
        <v>112</v>
      </c>
      <c r="F11" s="12" t="s">
        <v>108</v>
      </c>
      <c r="G11" s="12" t="s">
        <v>129</v>
      </c>
      <c r="H11" s="13">
        <v>46141</v>
      </c>
      <c r="I11" s="13">
        <v>46148</v>
      </c>
      <c r="J11" s="12">
        <v>1</v>
      </c>
      <c r="K11" s="12">
        <v>3</v>
      </c>
      <c r="L11" s="12" t="s">
        <v>19</v>
      </c>
      <c r="M11" s="12">
        <v>1</v>
      </c>
    </row>
    <row r="12" spans="1:13" x14ac:dyDescent="0.25">
      <c r="A12" s="12" t="s">
        <v>130</v>
      </c>
      <c r="B12" s="12">
        <v>6016420</v>
      </c>
      <c r="C12" s="14">
        <v>870936068364</v>
      </c>
      <c r="D12" s="12" t="s">
        <v>16</v>
      </c>
      <c r="E12" s="12" t="s">
        <v>107</v>
      </c>
      <c r="F12" s="12" t="s">
        <v>108</v>
      </c>
      <c r="G12" s="12" t="s">
        <v>126</v>
      </c>
      <c r="H12" s="13">
        <v>46139</v>
      </c>
      <c r="I12" s="13">
        <v>46147</v>
      </c>
      <c r="J12" s="12">
        <v>1</v>
      </c>
      <c r="K12" s="12">
        <v>1</v>
      </c>
      <c r="L12" s="12" t="s">
        <v>19</v>
      </c>
      <c r="M12" s="12">
        <v>1</v>
      </c>
    </row>
    <row r="13" spans="1:13" x14ac:dyDescent="0.25">
      <c r="A13" s="12" t="s">
        <v>131</v>
      </c>
      <c r="B13" s="12">
        <v>6016422</v>
      </c>
      <c r="C13" s="14">
        <v>870947979411</v>
      </c>
      <c r="D13" s="12" t="s">
        <v>16</v>
      </c>
      <c r="E13" s="12" t="s">
        <v>132</v>
      </c>
      <c r="F13" s="12" t="s">
        <v>108</v>
      </c>
      <c r="G13" s="12" t="s">
        <v>113</v>
      </c>
      <c r="H13" s="13">
        <v>46136</v>
      </c>
      <c r="I13" s="13">
        <v>46148</v>
      </c>
      <c r="J13" s="12">
        <v>1</v>
      </c>
      <c r="K13" s="12">
        <v>1</v>
      </c>
      <c r="L13" s="12" t="s">
        <v>19</v>
      </c>
      <c r="M13" s="12">
        <v>1</v>
      </c>
    </row>
    <row r="14" spans="1:13" x14ac:dyDescent="0.25">
      <c r="A14" s="12" t="s">
        <v>133</v>
      </c>
      <c r="B14" s="12">
        <v>6016423</v>
      </c>
      <c r="C14" s="14">
        <v>870549148397</v>
      </c>
      <c r="D14" s="12" t="s">
        <v>16</v>
      </c>
      <c r="E14" s="12" t="s">
        <v>17</v>
      </c>
      <c r="F14" s="12" t="s">
        <v>108</v>
      </c>
      <c r="G14" s="12" t="s">
        <v>113</v>
      </c>
      <c r="H14" s="13">
        <v>46133</v>
      </c>
      <c r="I14" s="13">
        <v>46148</v>
      </c>
      <c r="J14" s="12">
        <v>1</v>
      </c>
      <c r="K14" s="12">
        <v>1</v>
      </c>
      <c r="L14" s="12" t="s">
        <v>19</v>
      </c>
      <c r="M14" s="12">
        <v>1</v>
      </c>
    </row>
    <row r="15" spans="1:13" x14ac:dyDescent="0.25">
      <c r="A15" s="12" t="s">
        <v>134</v>
      </c>
      <c r="B15" s="12">
        <v>6016426</v>
      </c>
      <c r="C15" s="14">
        <v>871036456889</v>
      </c>
      <c r="D15" s="12" t="s">
        <v>135</v>
      </c>
      <c r="E15" s="12" t="s">
        <v>107</v>
      </c>
      <c r="F15" s="12" t="s">
        <v>108</v>
      </c>
      <c r="G15" s="12" t="s">
        <v>136</v>
      </c>
      <c r="H15" s="13">
        <v>46139</v>
      </c>
      <c r="I15" s="13">
        <v>46148</v>
      </c>
      <c r="J15" s="12">
        <v>1</v>
      </c>
      <c r="K15" s="12">
        <v>11</v>
      </c>
      <c r="L15" s="12" t="s">
        <v>19</v>
      </c>
      <c r="M15" s="12">
        <v>1</v>
      </c>
    </row>
    <row r="16" spans="1:13" x14ac:dyDescent="0.25">
      <c r="A16" s="12" t="s">
        <v>137</v>
      </c>
      <c r="B16" s="12">
        <v>6016429</v>
      </c>
      <c r="C16" s="14">
        <v>870834773334</v>
      </c>
      <c r="D16" s="12" t="s">
        <v>16</v>
      </c>
      <c r="E16" s="12" t="s">
        <v>138</v>
      </c>
      <c r="F16" s="12" t="s">
        <v>108</v>
      </c>
      <c r="G16" s="12" t="s">
        <v>113</v>
      </c>
      <c r="H16" s="13">
        <v>46139</v>
      </c>
      <c r="I16" s="13">
        <v>46148</v>
      </c>
      <c r="J16" s="12">
        <v>1</v>
      </c>
      <c r="K16" s="12">
        <v>8</v>
      </c>
      <c r="L16" s="12" t="s">
        <v>19</v>
      </c>
      <c r="M16" s="12">
        <v>1</v>
      </c>
    </row>
    <row r="17" spans="1:13" ht="11.4" customHeight="1" x14ac:dyDescent="0.25">
      <c r="A17" s="12" t="s">
        <v>139</v>
      </c>
      <c r="B17" s="12">
        <v>6016430</v>
      </c>
      <c r="C17" s="14">
        <v>491909765313</v>
      </c>
      <c r="D17" s="12" t="s">
        <v>16</v>
      </c>
      <c r="E17" s="12" t="s">
        <v>107</v>
      </c>
      <c r="F17" s="12" t="s">
        <v>108</v>
      </c>
      <c r="G17" s="12" t="s">
        <v>140</v>
      </c>
      <c r="H17" s="13">
        <v>46146</v>
      </c>
      <c r="I17" s="13">
        <v>46147</v>
      </c>
      <c r="J17" s="12">
        <v>1</v>
      </c>
      <c r="K17" s="12">
        <v>10</v>
      </c>
      <c r="L17" s="12" t="s">
        <v>19</v>
      </c>
      <c r="M17" s="12">
        <v>1</v>
      </c>
    </row>
    <row r="18" spans="1:13" ht="12" customHeight="1" x14ac:dyDescent="0.25">
      <c r="A18" s="12" t="s">
        <v>141</v>
      </c>
      <c r="B18" s="12">
        <v>6016435</v>
      </c>
      <c r="C18" s="14">
        <v>871033885155</v>
      </c>
      <c r="D18" s="12" t="s">
        <v>16</v>
      </c>
      <c r="E18" s="12" t="s">
        <v>112</v>
      </c>
      <c r="F18" s="12" t="s">
        <v>108</v>
      </c>
      <c r="G18" s="12" t="s">
        <v>113</v>
      </c>
      <c r="H18" s="13">
        <v>46143</v>
      </c>
      <c r="I18" s="13">
        <v>46149</v>
      </c>
      <c r="J18" s="12">
        <v>1</v>
      </c>
      <c r="K18" s="12">
        <v>5</v>
      </c>
      <c r="L18" s="12" t="s">
        <v>19</v>
      </c>
      <c r="M18" s="12">
        <v>1</v>
      </c>
    </row>
    <row r="19" spans="1:13" ht="12" customHeight="1" x14ac:dyDescent="0.25">
      <c r="A19" s="12" t="s">
        <v>142</v>
      </c>
      <c r="B19" s="12">
        <v>6016438</v>
      </c>
      <c r="C19" s="14">
        <v>523321386737</v>
      </c>
      <c r="D19" s="12" t="s">
        <v>16</v>
      </c>
      <c r="E19" s="12" t="s">
        <v>107</v>
      </c>
      <c r="F19" s="12" t="s">
        <v>108</v>
      </c>
      <c r="G19" s="12" t="s">
        <v>143</v>
      </c>
      <c r="H19" s="13">
        <v>46143</v>
      </c>
      <c r="I19" s="13">
        <v>46148</v>
      </c>
      <c r="J19" s="12">
        <v>1</v>
      </c>
      <c r="K19" s="12">
        <v>1</v>
      </c>
      <c r="L19" s="12" t="s">
        <v>19</v>
      </c>
      <c r="M19" s="12">
        <v>1</v>
      </c>
    </row>
    <row r="20" spans="1:13" ht="12" customHeight="1" x14ac:dyDescent="0.25">
      <c r="A20" s="12" t="s">
        <v>144</v>
      </c>
      <c r="B20" s="12">
        <v>6016443</v>
      </c>
      <c r="C20" s="14">
        <v>870674427840</v>
      </c>
      <c r="D20" s="12" t="s">
        <v>16</v>
      </c>
      <c r="E20" s="12" t="s">
        <v>132</v>
      </c>
      <c r="F20" s="12" t="s">
        <v>108</v>
      </c>
      <c r="G20" s="12" t="s">
        <v>113</v>
      </c>
      <c r="H20" s="13">
        <v>46139</v>
      </c>
      <c r="I20" s="13">
        <v>46149</v>
      </c>
      <c r="J20" s="12">
        <v>1</v>
      </c>
      <c r="K20" s="12">
        <v>3</v>
      </c>
      <c r="L20" s="12" t="s">
        <v>19</v>
      </c>
      <c r="M20" s="12">
        <v>1</v>
      </c>
    </row>
    <row r="21" spans="1:13" ht="12" customHeight="1" x14ac:dyDescent="0.25">
      <c r="A21" s="12" t="s">
        <v>145</v>
      </c>
      <c r="B21" s="12">
        <v>6016444</v>
      </c>
      <c r="C21" s="14">
        <v>380927457316</v>
      </c>
      <c r="D21" s="12" t="s">
        <v>16</v>
      </c>
      <c r="E21" s="12" t="s">
        <v>146</v>
      </c>
      <c r="F21" s="12" t="s">
        <v>108</v>
      </c>
      <c r="G21" s="12" t="s">
        <v>113</v>
      </c>
      <c r="H21" s="13">
        <v>46147</v>
      </c>
      <c r="I21" s="13">
        <v>46149</v>
      </c>
      <c r="J21" s="12">
        <v>1</v>
      </c>
      <c r="K21" s="12">
        <v>18</v>
      </c>
      <c r="L21" s="12" t="s">
        <v>19</v>
      </c>
      <c r="M21" s="12">
        <v>1</v>
      </c>
    </row>
    <row r="22" spans="1:13" ht="12" customHeight="1" x14ac:dyDescent="0.25">
      <c r="A22" s="12" t="s">
        <v>147</v>
      </c>
      <c r="B22" s="12">
        <v>6016446</v>
      </c>
      <c r="C22" s="15" t="s">
        <v>148</v>
      </c>
      <c r="D22" s="12" t="s">
        <v>16</v>
      </c>
      <c r="E22" s="12" t="s">
        <v>107</v>
      </c>
      <c r="F22" s="12" t="s">
        <v>108</v>
      </c>
      <c r="G22" s="12" t="s">
        <v>143</v>
      </c>
      <c r="H22" s="13">
        <v>46146</v>
      </c>
      <c r="I22" s="13">
        <v>46148</v>
      </c>
      <c r="J22" s="12">
        <v>3</v>
      </c>
      <c r="K22" s="12">
        <v>3</v>
      </c>
      <c r="L22" s="12" t="s">
        <v>19</v>
      </c>
      <c r="M22" s="12">
        <v>3</v>
      </c>
    </row>
    <row r="23" spans="1:13" ht="12" customHeight="1" x14ac:dyDescent="0.25">
      <c r="A23" s="12" t="s">
        <v>149</v>
      </c>
      <c r="B23" s="12">
        <v>6016447</v>
      </c>
      <c r="C23" s="14">
        <v>459761319662</v>
      </c>
      <c r="D23" s="12" t="s">
        <v>16</v>
      </c>
      <c r="E23" s="12" t="s">
        <v>17</v>
      </c>
      <c r="F23" s="12" t="s">
        <v>108</v>
      </c>
      <c r="G23" s="12" t="s">
        <v>150</v>
      </c>
      <c r="H23" s="13">
        <v>46146</v>
      </c>
      <c r="I23" s="13">
        <v>46149</v>
      </c>
      <c r="J23" s="12">
        <v>1</v>
      </c>
      <c r="K23" s="12">
        <v>1</v>
      </c>
      <c r="L23" s="12" t="s">
        <v>19</v>
      </c>
      <c r="M23" s="12">
        <v>1</v>
      </c>
    </row>
    <row r="24" spans="1:13" ht="12" customHeight="1" x14ac:dyDescent="0.25">
      <c r="A24" s="12" t="s">
        <v>151</v>
      </c>
      <c r="B24" s="12">
        <v>6016450</v>
      </c>
      <c r="C24" s="14">
        <v>871158403150</v>
      </c>
      <c r="D24" s="12" t="s">
        <v>16</v>
      </c>
      <c r="E24" s="12" t="s">
        <v>152</v>
      </c>
      <c r="F24" s="12" t="s">
        <v>108</v>
      </c>
      <c r="G24" s="12" t="s">
        <v>153</v>
      </c>
      <c r="H24" s="13">
        <v>46141</v>
      </c>
      <c r="I24" s="13">
        <v>46150</v>
      </c>
      <c r="J24" s="12">
        <v>1</v>
      </c>
      <c r="K24" s="12">
        <v>1</v>
      </c>
      <c r="L24" s="12" t="s">
        <v>19</v>
      </c>
      <c r="M24" s="12">
        <v>1</v>
      </c>
    </row>
    <row r="25" spans="1:13" ht="12" customHeight="1" x14ac:dyDescent="0.25">
      <c r="A25" s="12" t="s">
        <v>154</v>
      </c>
      <c r="B25" s="12">
        <v>6016455</v>
      </c>
      <c r="C25" s="14">
        <v>380931699104</v>
      </c>
      <c r="D25" s="12" t="s">
        <v>16</v>
      </c>
      <c r="E25" s="12" t="s">
        <v>107</v>
      </c>
      <c r="F25" s="12" t="s">
        <v>108</v>
      </c>
      <c r="G25" s="12" t="s">
        <v>140</v>
      </c>
      <c r="H25" s="13">
        <v>46146</v>
      </c>
      <c r="I25" s="13">
        <v>46149</v>
      </c>
      <c r="J25" s="12">
        <v>1</v>
      </c>
      <c r="K25" s="12">
        <v>3</v>
      </c>
      <c r="L25" s="12" t="s">
        <v>19</v>
      </c>
      <c r="M25" s="12">
        <v>1</v>
      </c>
    </row>
    <row r="26" spans="1:13" ht="12" customHeight="1" x14ac:dyDescent="0.25">
      <c r="A26" s="12" t="s">
        <v>155</v>
      </c>
      <c r="B26" s="12">
        <v>6016459</v>
      </c>
      <c r="C26" s="14">
        <v>380884556614</v>
      </c>
      <c r="D26" s="12" t="s">
        <v>16</v>
      </c>
      <c r="E26" s="12" t="s">
        <v>107</v>
      </c>
      <c r="F26" s="12" t="s">
        <v>108</v>
      </c>
      <c r="G26" s="12" t="s">
        <v>113</v>
      </c>
      <c r="H26" s="13">
        <v>46142</v>
      </c>
      <c r="I26" s="13">
        <v>46150</v>
      </c>
      <c r="J26" s="12">
        <v>1</v>
      </c>
      <c r="K26" s="12">
        <v>8</v>
      </c>
      <c r="L26" s="12" t="s">
        <v>19</v>
      </c>
      <c r="M26" s="12">
        <v>1</v>
      </c>
    </row>
    <row r="27" spans="1:13" x14ac:dyDescent="0.25">
      <c r="A27" s="12" t="s">
        <v>156</v>
      </c>
      <c r="B27" s="12">
        <v>6016460</v>
      </c>
      <c r="C27" s="14">
        <v>871033837040</v>
      </c>
      <c r="D27" s="12" t="s">
        <v>16</v>
      </c>
      <c r="E27" s="12" t="s">
        <v>112</v>
      </c>
      <c r="F27" s="12" t="s">
        <v>108</v>
      </c>
      <c r="G27" s="12" t="s">
        <v>113</v>
      </c>
      <c r="H27" s="13">
        <v>46146</v>
      </c>
      <c r="I27" s="13">
        <v>46149</v>
      </c>
      <c r="J27" s="12">
        <v>1</v>
      </c>
      <c r="K27" s="12">
        <v>5</v>
      </c>
      <c r="L27" s="12" t="s">
        <v>19</v>
      </c>
      <c r="M27" s="12">
        <v>1</v>
      </c>
    </row>
    <row r="28" spans="1:13" x14ac:dyDescent="0.25">
      <c r="A28" s="12" t="s">
        <v>157</v>
      </c>
      <c r="B28" s="12">
        <v>6016462</v>
      </c>
      <c r="C28" s="14">
        <v>871312300277</v>
      </c>
      <c r="D28" s="12" t="s">
        <v>16</v>
      </c>
      <c r="E28" s="12" t="s">
        <v>120</v>
      </c>
      <c r="F28" s="12" t="s">
        <v>108</v>
      </c>
      <c r="G28" s="12" t="s">
        <v>124</v>
      </c>
      <c r="H28" s="13">
        <v>46146</v>
      </c>
      <c r="I28" s="13">
        <v>46150</v>
      </c>
      <c r="J28" s="12">
        <v>1</v>
      </c>
      <c r="K28" s="12">
        <v>1</v>
      </c>
      <c r="L28" s="12" t="s">
        <v>19</v>
      </c>
      <c r="M28" s="12">
        <v>1</v>
      </c>
    </row>
    <row r="29" spans="1:13" x14ac:dyDescent="0.25">
      <c r="A29" s="12" t="s">
        <v>158</v>
      </c>
      <c r="B29" s="12">
        <v>6016470</v>
      </c>
      <c r="C29" s="14">
        <v>870723781148</v>
      </c>
      <c r="D29" s="12" t="s">
        <v>16</v>
      </c>
      <c r="E29" s="12" t="s">
        <v>112</v>
      </c>
      <c r="F29" s="12" t="s">
        <v>108</v>
      </c>
      <c r="G29" s="12" t="s">
        <v>113</v>
      </c>
      <c r="H29" s="13">
        <v>46142</v>
      </c>
      <c r="I29" s="13">
        <v>46150</v>
      </c>
      <c r="J29" s="12">
        <v>1</v>
      </c>
      <c r="K29" s="12">
        <v>1</v>
      </c>
      <c r="L29" s="12" t="s">
        <v>19</v>
      </c>
      <c r="M29" s="12">
        <v>1</v>
      </c>
    </row>
    <row r="30" spans="1:13" x14ac:dyDescent="0.25">
      <c r="A30" s="12" t="s">
        <v>159</v>
      </c>
      <c r="B30" s="12">
        <v>6016471</v>
      </c>
      <c r="C30" s="14">
        <v>404274731517</v>
      </c>
      <c r="D30" s="12" t="s">
        <v>16</v>
      </c>
      <c r="E30" s="12" t="s">
        <v>107</v>
      </c>
      <c r="F30" s="12" t="s">
        <v>108</v>
      </c>
      <c r="G30" s="12" t="s">
        <v>160</v>
      </c>
      <c r="H30" s="13">
        <v>46142</v>
      </c>
      <c r="I30" s="13">
        <v>46151</v>
      </c>
      <c r="J30" s="12">
        <v>1</v>
      </c>
      <c r="K30" s="12">
        <v>3</v>
      </c>
      <c r="L30" s="12" t="s">
        <v>19</v>
      </c>
      <c r="M30" s="12">
        <v>1</v>
      </c>
    </row>
    <row r="31" spans="1:13" x14ac:dyDescent="0.25">
      <c r="A31" s="12" t="s">
        <v>161</v>
      </c>
      <c r="B31" s="12">
        <v>6016476</v>
      </c>
      <c r="C31" s="14">
        <v>474444884876</v>
      </c>
      <c r="D31" s="12" t="s">
        <v>16</v>
      </c>
      <c r="E31" s="12" t="s">
        <v>107</v>
      </c>
      <c r="F31" s="12" t="s">
        <v>108</v>
      </c>
      <c r="G31" s="12" t="s">
        <v>113</v>
      </c>
      <c r="H31" s="13">
        <v>46146</v>
      </c>
      <c r="I31" s="13">
        <v>46150</v>
      </c>
      <c r="J31" s="12">
        <v>1</v>
      </c>
      <c r="K31" s="12">
        <v>2</v>
      </c>
      <c r="L31" s="12" t="s">
        <v>19</v>
      </c>
      <c r="M31" s="12">
        <v>1</v>
      </c>
    </row>
    <row r="32" spans="1:13" x14ac:dyDescent="0.25">
      <c r="A32" s="12" t="s">
        <v>162</v>
      </c>
      <c r="B32" s="12">
        <v>6016479</v>
      </c>
      <c r="C32" s="14">
        <v>474444884957</v>
      </c>
      <c r="D32" s="12" t="s">
        <v>16</v>
      </c>
      <c r="E32" s="12" t="s">
        <v>107</v>
      </c>
      <c r="F32" s="12" t="s">
        <v>108</v>
      </c>
      <c r="G32" s="12" t="s">
        <v>113</v>
      </c>
      <c r="H32" s="13">
        <v>46147</v>
      </c>
      <c r="I32" s="13">
        <v>46150</v>
      </c>
      <c r="J32" s="12">
        <v>1</v>
      </c>
      <c r="K32" s="12">
        <v>2</v>
      </c>
      <c r="L32" s="12" t="s">
        <v>19</v>
      </c>
      <c r="M32" s="12">
        <v>1</v>
      </c>
    </row>
    <row r="33" spans="1:13" x14ac:dyDescent="0.25">
      <c r="A33" s="12" t="s">
        <v>163</v>
      </c>
      <c r="B33" s="12">
        <v>6016485</v>
      </c>
      <c r="C33" s="14">
        <v>871267887953</v>
      </c>
      <c r="D33" s="12" t="s">
        <v>16</v>
      </c>
      <c r="E33" s="12" t="s">
        <v>17</v>
      </c>
      <c r="F33" s="12" t="s">
        <v>108</v>
      </c>
      <c r="G33" s="12" t="s">
        <v>150</v>
      </c>
      <c r="H33" s="13">
        <v>46149</v>
      </c>
      <c r="I33" s="13">
        <v>46154</v>
      </c>
      <c r="J33" s="12">
        <v>1</v>
      </c>
      <c r="K33" s="12">
        <v>1</v>
      </c>
      <c r="L33" s="12" t="s">
        <v>19</v>
      </c>
      <c r="M33" s="12">
        <v>1</v>
      </c>
    </row>
    <row r="34" spans="1:13" x14ac:dyDescent="0.25">
      <c r="A34" s="12" t="s">
        <v>164</v>
      </c>
      <c r="B34" s="12">
        <v>6016489</v>
      </c>
      <c r="C34" s="14">
        <v>380982550260</v>
      </c>
      <c r="D34" s="12" t="s">
        <v>16</v>
      </c>
      <c r="E34" s="12" t="s">
        <v>107</v>
      </c>
      <c r="F34" s="12" t="s">
        <v>108</v>
      </c>
      <c r="G34" s="12" t="s">
        <v>116</v>
      </c>
      <c r="H34" s="13">
        <v>46146</v>
      </c>
      <c r="I34" s="13">
        <v>46151</v>
      </c>
      <c r="J34" s="12">
        <v>1</v>
      </c>
      <c r="K34" s="12">
        <v>1</v>
      </c>
      <c r="L34" s="12" t="s">
        <v>19</v>
      </c>
      <c r="M34" s="12">
        <v>1</v>
      </c>
    </row>
    <row r="35" spans="1:13" x14ac:dyDescent="0.25">
      <c r="A35" s="12" t="s">
        <v>165</v>
      </c>
      <c r="B35" s="12">
        <v>6016491</v>
      </c>
      <c r="C35" s="14">
        <v>380932092739</v>
      </c>
      <c r="D35" s="12" t="s">
        <v>16</v>
      </c>
      <c r="E35" s="12" t="s">
        <v>107</v>
      </c>
      <c r="F35" s="12" t="s">
        <v>108</v>
      </c>
      <c r="G35" s="12" t="s">
        <v>140</v>
      </c>
      <c r="H35" s="13">
        <v>46146</v>
      </c>
      <c r="I35" s="13">
        <v>46150</v>
      </c>
      <c r="J35" s="12">
        <v>1</v>
      </c>
      <c r="K35" s="12">
        <v>2</v>
      </c>
      <c r="L35" s="12" t="s">
        <v>19</v>
      </c>
      <c r="M35" s="12">
        <v>1</v>
      </c>
    </row>
    <row r="36" spans="1:13" x14ac:dyDescent="0.25">
      <c r="A36" s="12" t="s">
        <v>166</v>
      </c>
      <c r="B36" s="12">
        <v>6016494</v>
      </c>
      <c r="C36" s="14">
        <v>870933590051</v>
      </c>
      <c r="D36" s="12" t="s">
        <v>16</v>
      </c>
      <c r="E36" s="12" t="s">
        <v>107</v>
      </c>
      <c r="F36" s="12" t="s">
        <v>108</v>
      </c>
      <c r="G36" s="12" t="s">
        <v>113</v>
      </c>
      <c r="H36" s="13">
        <v>46143</v>
      </c>
      <c r="I36" s="13">
        <v>46153</v>
      </c>
      <c r="J36" s="12">
        <v>1</v>
      </c>
      <c r="K36" s="12">
        <v>2</v>
      </c>
      <c r="L36" s="12" t="s">
        <v>19</v>
      </c>
      <c r="M36" s="12">
        <v>1</v>
      </c>
    </row>
    <row r="37" spans="1:13" x14ac:dyDescent="0.25">
      <c r="A37" s="12" t="s">
        <v>167</v>
      </c>
      <c r="B37" s="12">
        <v>6016499</v>
      </c>
      <c r="C37" s="14">
        <v>481160797829</v>
      </c>
      <c r="D37" s="12" t="s">
        <v>16</v>
      </c>
      <c r="E37" s="12" t="s">
        <v>107</v>
      </c>
      <c r="F37" s="12" t="s">
        <v>108</v>
      </c>
      <c r="G37" s="12" t="s">
        <v>140</v>
      </c>
      <c r="H37" s="13">
        <v>46148</v>
      </c>
      <c r="I37" s="13">
        <v>46153</v>
      </c>
      <c r="J37" s="12">
        <v>1</v>
      </c>
      <c r="K37" s="12">
        <v>4</v>
      </c>
      <c r="L37" s="12" t="s">
        <v>19</v>
      </c>
      <c r="M37" s="12">
        <v>1</v>
      </c>
    </row>
    <row r="38" spans="1:13" x14ac:dyDescent="0.25">
      <c r="A38" s="12" t="s">
        <v>168</v>
      </c>
      <c r="B38" s="12">
        <v>6016511</v>
      </c>
      <c r="C38" s="14">
        <v>871066377810</v>
      </c>
      <c r="D38" s="12" t="s">
        <v>16</v>
      </c>
      <c r="E38" s="12" t="s">
        <v>17</v>
      </c>
      <c r="F38" s="12" t="s">
        <v>108</v>
      </c>
      <c r="G38" s="12" t="s">
        <v>169</v>
      </c>
      <c r="H38" s="13">
        <v>46146</v>
      </c>
      <c r="I38" s="13">
        <v>46154</v>
      </c>
      <c r="J38" s="12">
        <v>1</v>
      </c>
      <c r="K38" s="12">
        <v>5</v>
      </c>
      <c r="L38" s="12" t="s">
        <v>19</v>
      </c>
      <c r="M38" s="12">
        <v>1</v>
      </c>
    </row>
    <row r="39" spans="1:13" x14ac:dyDescent="0.25">
      <c r="A39" s="12" t="s">
        <v>170</v>
      </c>
      <c r="B39" s="12">
        <v>6016515</v>
      </c>
      <c r="C39" s="14">
        <v>381073678538</v>
      </c>
      <c r="D39" s="12" t="s">
        <v>16</v>
      </c>
      <c r="E39" s="12" t="s">
        <v>146</v>
      </c>
      <c r="F39" s="12" t="s">
        <v>108</v>
      </c>
      <c r="G39" s="12" t="s">
        <v>113</v>
      </c>
      <c r="H39" s="13">
        <v>46150</v>
      </c>
      <c r="I39" s="13">
        <v>46154</v>
      </c>
      <c r="J39" s="12">
        <v>1</v>
      </c>
      <c r="K39" s="12">
        <v>18</v>
      </c>
      <c r="L39" s="12" t="s">
        <v>19</v>
      </c>
      <c r="M39" s="12">
        <v>1</v>
      </c>
    </row>
    <row r="40" spans="1:13" x14ac:dyDescent="0.25">
      <c r="A40" s="12" t="s">
        <v>171</v>
      </c>
      <c r="B40" s="12">
        <v>6016520</v>
      </c>
      <c r="C40" s="14">
        <v>871154368984</v>
      </c>
      <c r="D40" s="12" t="s">
        <v>16</v>
      </c>
      <c r="E40" s="12" t="s">
        <v>138</v>
      </c>
      <c r="F40" s="12" t="s">
        <v>108</v>
      </c>
      <c r="G40" s="12" t="s">
        <v>113</v>
      </c>
      <c r="H40" s="13">
        <v>46147</v>
      </c>
      <c r="I40" s="13">
        <v>46153</v>
      </c>
      <c r="J40" s="12">
        <v>1</v>
      </c>
      <c r="K40" s="12">
        <v>1</v>
      </c>
      <c r="L40" s="12" t="s">
        <v>19</v>
      </c>
      <c r="M40" s="12">
        <v>1</v>
      </c>
    </row>
    <row r="41" spans="1:13" x14ac:dyDescent="0.25">
      <c r="A41" s="12" t="s">
        <v>172</v>
      </c>
      <c r="B41" s="12">
        <v>6016524</v>
      </c>
      <c r="C41" s="14">
        <v>469433934168</v>
      </c>
      <c r="D41" s="12" t="s">
        <v>16</v>
      </c>
      <c r="E41" s="12" t="s">
        <v>112</v>
      </c>
      <c r="F41" s="12" t="s">
        <v>108</v>
      </c>
      <c r="G41" s="12" t="s">
        <v>173</v>
      </c>
      <c r="H41" s="13">
        <v>46141</v>
      </c>
      <c r="I41" s="13">
        <v>46155</v>
      </c>
      <c r="J41" s="12">
        <v>1</v>
      </c>
      <c r="K41" s="12">
        <v>7</v>
      </c>
      <c r="L41" s="12" t="s">
        <v>19</v>
      </c>
      <c r="M41" s="12">
        <v>1</v>
      </c>
    </row>
    <row r="42" spans="1:13" x14ac:dyDescent="0.25">
      <c r="A42" s="12" t="s">
        <v>174</v>
      </c>
      <c r="B42" s="12">
        <v>6016525</v>
      </c>
      <c r="C42" s="14">
        <v>474444885059</v>
      </c>
      <c r="D42" s="12" t="s">
        <v>16</v>
      </c>
      <c r="E42" s="12" t="s">
        <v>107</v>
      </c>
      <c r="F42" s="12" t="s">
        <v>108</v>
      </c>
      <c r="G42" s="12" t="s">
        <v>113</v>
      </c>
      <c r="H42" s="13">
        <v>46149</v>
      </c>
      <c r="I42" s="13">
        <v>46154</v>
      </c>
      <c r="J42" s="12">
        <v>1</v>
      </c>
      <c r="K42" s="12">
        <v>1</v>
      </c>
      <c r="L42" s="12" t="s">
        <v>19</v>
      </c>
      <c r="M42" s="12">
        <v>1</v>
      </c>
    </row>
    <row r="43" spans="1:13" x14ac:dyDescent="0.25">
      <c r="A43" s="12" t="s">
        <v>175</v>
      </c>
      <c r="B43" s="12">
        <v>6016531</v>
      </c>
      <c r="C43" s="14">
        <v>871031875894</v>
      </c>
      <c r="D43" s="12" t="s">
        <v>16</v>
      </c>
      <c r="E43" s="12" t="s">
        <v>112</v>
      </c>
      <c r="F43" s="12" t="s">
        <v>108</v>
      </c>
      <c r="G43" s="12" t="s">
        <v>176</v>
      </c>
      <c r="H43" s="13">
        <v>46149</v>
      </c>
      <c r="I43" s="13">
        <v>46155</v>
      </c>
      <c r="J43" s="12">
        <v>1</v>
      </c>
      <c r="K43" s="12">
        <v>11</v>
      </c>
      <c r="L43" s="12" t="s">
        <v>19</v>
      </c>
      <c r="M43" s="12">
        <v>1</v>
      </c>
    </row>
    <row r="44" spans="1:13" x14ac:dyDescent="0.25">
      <c r="A44" s="12" t="s">
        <v>177</v>
      </c>
      <c r="B44" s="12">
        <v>6016535</v>
      </c>
      <c r="C44" s="14">
        <v>520539806422</v>
      </c>
      <c r="D44" s="12" t="s">
        <v>16</v>
      </c>
      <c r="E44" s="12" t="s">
        <v>17</v>
      </c>
      <c r="F44" s="12" t="s">
        <v>108</v>
      </c>
      <c r="G44" s="12" t="s">
        <v>178</v>
      </c>
      <c r="H44" s="13">
        <v>46149</v>
      </c>
      <c r="I44" s="13">
        <v>46156</v>
      </c>
      <c r="J44" s="12">
        <v>1</v>
      </c>
      <c r="K44" s="12">
        <v>2</v>
      </c>
      <c r="L44" s="12" t="s">
        <v>19</v>
      </c>
      <c r="M44" s="12">
        <v>1</v>
      </c>
    </row>
    <row r="45" spans="1:13" x14ac:dyDescent="0.25">
      <c r="A45" s="12" t="s">
        <v>179</v>
      </c>
      <c r="B45" s="12">
        <v>6016543</v>
      </c>
      <c r="C45" s="14">
        <v>817833192715</v>
      </c>
      <c r="D45" s="12" t="s">
        <v>135</v>
      </c>
      <c r="E45" s="12" t="s">
        <v>132</v>
      </c>
      <c r="F45" s="12" t="s">
        <v>108</v>
      </c>
      <c r="G45" s="12" t="s">
        <v>180</v>
      </c>
      <c r="H45" s="13">
        <v>46143</v>
      </c>
      <c r="I45" s="13">
        <v>46155</v>
      </c>
      <c r="J45" s="12">
        <v>1</v>
      </c>
      <c r="K45" s="12">
        <v>1</v>
      </c>
      <c r="L45" s="12" t="s">
        <v>19</v>
      </c>
      <c r="M45" s="12">
        <v>1</v>
      </c>
    </row>
    <row r="46" spans="1:13" x14ac:dyDescent="0.25">
      <c r="A46" s="12" t="s">
        <v>181</v>
      </c>
      <c r="B46" s="12">
        <v>6016545</v>
      </c>
      <c r="C46" s="14">
        <v>871239793989</v>
      </c>
      <c r="D46" s="12" t="s">
        <v>16</v>
      </c>
      <c r="E46" s="12" t="s">
        <v>138</v>
      </c>
      <c r="F46" s="12" t="s">
        <v>108</v>
      </c>
      <c r="G46" s="12" t="s">
        <v>113</v>
      </c>
      <c r="H46" s="13">
        <v>46149</v>
      </c>
      <c r="I46" s="13">
        <v>46156</v>
      </c>
      <c r="J46" s="12">
        <v>1</v>
      </c>
      <c r="K46" s="12">
        <v>1</v>
      </c>
      <c r="L46" s="12" t="s">
        <v>19</v>
      </c>
      <c r="M46" s="12">
        <v>1</v>
      </c>
    </row>
    <row r="47" spans="1:13" x14ac:dyDescent="0.25">
      <c r="A47" s="12" t="s">
        <v>182</v>
      </c>
      <c r="B47" s="12">
        <v>6016546</v>
      </c>
      <c r="C47" s="14">
        <v>871439710852</v>
      </c>
      <c r="D47" s="12" t="s">
        <v>16</v>
      </c>
      <c r="E47" s="12" t="s">
        <v>112</v>
      </c>
      <c r="F47" s="12" t="s">
        <v>108</v>
      </c>
      <c r="G47" s="12" t="s">
        <v>183</v>
      </c>
      <c r="H47" s="13">
        <v>46146</v>
      </c>
      <c r="I47" s="13">
        <v>46158</v>
      </c>
      <c r="J47" s="12">
        <v>1</v>
      </c>
      <c r="K47" s="12">
        <v>5</v>
      </c>
      <c r="L47" s="12" t="s">
        <v>19</v>
      </c>
      <c r="M47" s="12">
        <v>1</v>
      </c>
    </row>
    <row r="48" spans="1:13" x14ac:dyDescent="0.25">
      <c r="A48" s="12" t="s">
        <v>184</v>
      </c>
      <c r="B48" s="12">
        <v>6016549</v>
      </c>
      <c r="C48" s="14">
        <v>817833192704</v>
      </c>
      <c r="D48" s="12" t="s">
        <v>135</v>
      </c>
      <c r="E48" s="12" t="s">
        <v>132</v>
      </c>
      <c r="F48" s="12" t="s">
        <v>108</v>
      </c>
      <c r="G48" s="12" t="s">
        <v>180</v>
      </c>
      <c r="H48" s="13">
        <v>46146</v>
      </c>
      <c r="I48" s="13">
        <v>46155</v>
      </c>
      <c r="J48" s="12">
        <v>1</v>
      </c>
      <c r="K48" s="12">
        <v>1</v>
      </c>
      <c r="L48" s="12" t="s">
        <v>19</v>
      </c>
      <c r="M48" s="12">
        <v>1</v>
      </c>
    </row>
    <row r="49" spans="1:13" x14ac:dyDescent="0.25">
      <c r="A49" s="12" t="s">
        <v>185</v>
      </c>
      <c r="B49" s="12">
        <v>6016554</v>
      </c>
      <c r="C49" s="14">
        <v>491909766846</v>
      </c>
      <c r="D49" s="12" t="s">
        <v>16</v>
      </c>
      <c r="E49" s="12" t="s">
        <v>107</v>
      </c>
      <c r="F49" s="12" t="s">
        <v>108</v>
      </c>
      <c r="G49" s="12" t="s">
        <v>140</v>
      </c>
      <c r="H49" s="13">
        <v>46150</v>
      </c>
      <c r="I49" s="13">
        <v>46155</v>
      </c>
      <c r="J49" s="12">
        <v>1</v>
      </c>
      <c r="K49" s="12">
        <v>3</v>
      </c>
      <c r="L49" s="12" t="s">
        <v>19</v>
      </c>
      <c r="M49" s="12">
        <v>1</v>
      </c>
    </row>
    <row r="50" spans="1:13" x14ac:dyDescent="0.25">
      <c r="A50" s="12" t="s">
        <v>186</v>
      </c>
      <c r="B50" s="12">
        <v>6016560</v>
      </c>
      <c r="C50" s="14">
        <v>871097401759</v>
      </c>
      <c r="D50" s="12" t="s">
        <v>16</v>
      </c>
      <c r="E50" s="12" t="s">
        <v>107</v>
      </c>
      <c r="F50" s="12" t="s">
        <v>108</v>
      </c>
      <c r="G50" s="12" t="s">
        <v>113</v>
      </c>
      <c r="H50" s="13">
        <v>46146</v>
      </c>
      <c r="I50" s="13">
        <v>46162</v>
      </c>
      <c r="J50" s="12">
        <v>1</v>
      </c>
      <c r="K50" s="12">
        <v>2</v>
      </c>
      <c r="L50" s="12" t="s">
        <v>19</v>
      </c>
      <c r="M50" s="12">
        <v>1</v>
      </c>
    </row>
    <row r="51" spans="1:13" x14ac:dyDescent="0.25">
      <c r="A51" s="12" t="s">
        <v>187</v>
      </c>
      <c r="B51" s="12">
        <v>6016561</v>
      </c>
      <c r="C51" s="14">
        <v>871278480164</v>
      </c>
      <c r="D51" s="12" t="s">
        <v>16</v>
      </c>
      <c r="E51" s="12" t="s">
        <v>112</v>
      </c>
      <c r="F51" s="12" t="s">
        <v>108</v>
      </c>
      <c r="G51" s="12" t="s">
        <v>188</v>
      </c>
      <c r="H51" s="13">
        <v>46150</v>
      </c>
      <c r="I51" s="13">
        <v>46156</v>
      </c>
      <c r="J51" s="12">
        <v>1</v>
      </c>
      <c r="K51" s="12">
        <v>3</v>
      </c>
      <c r="L51" s="12" t="s">
        <v>19</v>
      </c>
      <c r="M51" s="12">
        <v>1</v>
      </c>
    </row>
    <row r="52" spans="1:13" x14ac:dyDescent="0.25">
      <c r="A52" s="12" t="s">
        <v>189</v>
      </c>
      <c r="B52" s="12">
        <v>6016563</v>
      </c>
      <c r="C52" s="14">
        <v>474444885243</v>
      </c>
      <c r="D52" s="12" t="s">
        <v>16</v>
      </c>
      <c r="E52" s="12" t="s">
        <v>107</v>
      </c>
      <c r="F52" s="12" t="s">
        <v>108</v>
      </c>
      <c r="G52" s="12" t="s">
        <v>113</v>
      </c>
      <c r="H52" s="13">
        <v>46153</v>
      </c>
      <c r="I52" s="13">
        <v>46156</v>
      </c>
      <c r="J52" s="12">
        <v>1</v>
      </c>
      <c r="K52" s="12">
        <v>1</v>
      </c>
      <c r="L52" s="12" t="s">
        <v>19</v>
      </c>
      <c r="M52" s="12">
        <v>1</v>
      </c>
    </row>
    <row r="53" spans="1:13" x14ac:dyDescent="0.25">
      <c r="A53" s="12" t="s">
        <v>190</v>
      </c>
      <c r="B53" s="12">
        <v>6016564</v>
      </c>
      <c r="C53" s="14">
        <v>515621524907</v>
      </c>
      <c r="D53" s="12" t="s">
        <v>16</v>
      </c>
      <c r="E53" s="12" t="s">
        <v>191</v>
      </c>
      <c r="F53" s="12" t="s">
        <v>108</v>
      </c>
      <c r="G53" s="12" t="s">
        <v>192</v>
      </c>
      <c r="H53" s="13">
        <v>46154</v>
      </c>
      <c r="I53" s="13">
        <v>46162</v>
      </c>
      <c r="J53" s="12">
        <v>1</v>
      </c>
      <c r="K53" s="12">
        <v>1</v>
      </c>
      <c r="L53" s="12" t="s">
        <v>19</v>
      </c>
      <c r="M53" s="12">
        <v>1</v>
      </c>
    </row>
    <row r="54" spans="1:13" x14ac:dyDescent="0.25">
      <c r="A54" s="12" t="s">
        <v>193</v>
      </c>
      <c r="B54" s="12">
        <v>6016566</v>
      </c>
      <c r="C54" s="14">
        <v>871154311459</v>
      </c>
      <c r="D54" s="12" t="s">
        <v>16</v>
      </c>
      <c r="E54" s="12" t="s">
        <v>132</v>
      </c>
      <c r="F54" s="12" t="s">
        <v>108</v>
      </c>
      <c r="G54" s="12" t="s">
        <v>194</v>
      </c>
      <c r="H54" s="13">
        <v>46149</v>
      </c>
      <c r="I54" s="13">
        <v>46156</v>
      </c>
      <c r="J54" s="12">
        <v>1</v>
      </c>
      <c r="K54" s="12">
        <v>1</v>
      </c>
      <c r="L54" s="12" t="s">
        <v>19</v>
      </c>
      <c r="M54" s="12">
        <v>1</v>
      </c>
    </row>
    <row r="55" spans="1:13" x14ac:dyDescent="0.25">
      <c r="A55" s="12" t="s">
        <v>195</v>
      </c>
      <c r="B55" s="12">
        <v>6016569</v>
      </c>
      <c r="C55" s="14">
        <v>871247509683</v>
      </c>
      <c r="D55" s="12" t="s">
        <v>16</v>
      </c>
      <c r="E55" s="12" t="s">
        <v>112</v>
      </c>
      <c r="F55" s="12" t="s">
        <v>108</v>
      </c>
      <c r="G55" s="12" t="s">
        <v>118</v>
      </c>
      <c r="H55" s="13">
        <v>46153</v>
      </c>
      <c r="I55" s="13">
        <v>46158</v>
      </c>
      <c r="J55" s="12">
        <v>1</v>
      </c>
      <c r="K55" s="12">
        <v>1</v>
      </c>
      <c r="L55" s="12" t="s">
        <v>19</v>
      </c>
      <c r="M55" s="12">
        <v>1</v>
      </c>
    </row>
    <row r="56" spans="1:13" x14ac:dyDescent="0.25">
      <c r="A56" s="12" t="s">
        <v>196</v>
      </c>
      <c r="B56" s="12">
        <v>6016580</v>
      </c>
      <c r="C56" s="14">
        <v>871089103733</v>
      </c>
      <c r="D56" s="12" t="s">
        <v>16</v>
      </c>
      <c r="E56" s="12" t="s">
        <v>152</v>
      </c>
      <c r="F56" s="12" t="s">
        <v>108</v>
      </c>
      <c r="G56" s="12" t="s">
        <v>113</v>
      </c>
      <c r="H56" s="13">
        <v>46143</v>
      </c>
      <c r="I56" s="13">
        <v>46157</v>
      </c>
      <c r="J56" s="12">
        <v>1</v>
      </c>
      <c r="K56" s="12">
        <v>1</v>
      </c>
      <c r="L56" s="12" t="s">
        <v>19</v>
      </c>
      <c r="M56" s="12">
        <v>1</v>
      </c>
    </row>
    <row r="57" spans="1:13" x14ac:dyDescent="0.25">
      <c r="A57" s="12" t="s">
        <v>197</v>
      </c>
      <c r="B57" s="12">
        <v>6016582</v>
      </c>
      <c r="C57" s="14">
        <v>474444885200</v>
      </c>
      <c r="D57" s="12" t="s">
        <v>16</v>
      </c>
      <c r="E57" s="12" t="s">
        <v>107</v>
      </c>
      <c r="F57" s="12" t="s">
        <v>108</v>
      </c>
      <c r="G57" s="12" t="s">
        <v>113</v>
      </c>
      <c r="H57" s="13">
        <v>46153</v>
      </c>
      <c r="I57" s="13">
        <v>46157</v>
      </c>
      <c r="J57" s="12">
        <v>1</v>
      </c>
      <c r="K57" s="12">
        <v>2</v>
      </c>
      <c r="L57" s="12" t="s">
        <v>19</v>
      </c>
      <c r="M57" s="12">
        <v>1</v>
      </c>
    </row>
    <row r="58" spans="1:13" x14ac:dyDescent="0.25">
      <c r="A58" s="12" t="s">
        <v>198</v>
      </c>
      <c r="B58" s="12">
        <v>6016586</v>
      </c>
      <c r="C58" s="14">
        <v>490873183186</v>
      </c>
      <c r="D58" s="12" t="s">
        <v>16</v>
      </c>
      <c r="E58" s="12" t="s">
        <v>152</v>
      </c>
      <c r="F58" s="12" t="s">
        <v>108</v>
      </c>
      <c r="G58" s="12" t="s">
        <v>126</v>
      </c>
      <c r="H58" s="13">
        <v>46156</v>
      </c>
      <c r="I58" s="13">
        <v>46162</v>
      </c>
      <c r="J58" s="12">
        <v>1</v>
      </c>
      <c r="K58" s="12">
        <v>2</v>
      </c>
      <c r="L58" s="12" t="s">
        <v>19</v>
      </c>
      <c r="M58" s="12">
        <v>1</v>
      </c>
    </row>
    <row r="59" spans="1:13" x14ac:dyDescent="0.25">
      <c r="A59" s="12" t="s">
        <v>199</v>
      </c>
      <c r="B59" s="12">
        <v>6016592</v>
      </c>
      <c r="C59" s="14" t="s">
        <v>200</v>
      </c>
      <c r="D59" s="12" t="s">
        <v>16</v>
      </c>
      <c r="E59" s="12" t="s">
        <v>26</v>
      </c>
      <c r="F59" s="12" t="s">
        <v>108</v>
      </c>
      <c r="G59" s="12" t="s">
        <v>201</v>
      </c>
      <c r="H59" s="13">
        <v>46149</v>
      </c>
      <c r="I59" s="13">
        <v>46158</v>
      </c>
      <c r="J59" s="12">
        <v>2</v>
      </c>
      <c r="K59" s="12">
        <v>2</v>
      </c>
      <c r="L59" s="12" t="s">
        <v>19</v>
      </c>
      <c r="M59" s="12">
        <v>2</v>
      </c>
    </row>
    <row r="60" spans="1:13" x14ac:dyDescent="0.25">
      <c r="A60" s="12" t="s">
        <v>202</v>
      </c>
      <c r="B60" s="12">
        <v>6016593</v>
      </c>
      <c r="C60" s="14">
        <v>871495582764</v>
      </c>
      <c r="D60" s="12" t="s">
        <v>16</v>
      </c>
      <c r="E60" s="12" t="s">
        <v>26</v>
      </c>
      <c r="F60" s="12" t="s">
        <v>108</v>
      </c>
      <c r="G60" s="12" t="s">
        <v>201</v>
      </c>
      <c r="H60" s="13">
        <v>46150</v>
      </c>
      <c r="I60" s="13">
        <v>46158</v>
      </c>
      <c r="J60" s="12">
        <v>1</v>
      </c>
      <c r="K60" s="12">
        <v>1</v>
      </c>
      <c r="L60" s="12" t="s">
        <v>19</v>
      </c>
      <c r="M60" s="12">
        <v>1</v>
      </c>
    </row>
    <row r="61" spans="1:13" x14ac:dyDescent="0.25">
      <c r="A61" s="12" t="s">
        <v>203</v>
      </c>
      <c r="B61" s="12">
        <v>6016596</v>
      </c>
      <c r="C61" s="14">
        <v>871094012116</v>
      </c>
      <c r="D61" s="12" t="s">
        <v>16</v>
      </c>
      <c r="E61" s="12" t="s">
        <v>107</v>
      </c>
      <c r="F61" s="12" t="s">
        <v>108</v>
      </c>
      <c r="G61" s="12" t="s">
        <v>204</v>
      </c>
      <c r="H61" s="13">
        <v>46149</v>
      </c>
      <c r="I61" s="13">
        <v>46162</v>
      </c>
      <c r="J61" s="12">
        <v>1</v>
      </c>
      <c r="K61" s="12">
        <v>3</v>
      </c>
      <c r="L61" s="12" t="s">
        <v>19</v>
      </c>
      <c r="M61" s="12">
        <v>1</v>
      </c>
    </row>
    <row r="62" spans="1:13" x14ac:dyDescent="0.25">
      <c r="A62" s="12" t="s">
        <v>205</v>
      </c>
      <c r="B62" s="12">
        <v>6016598</v>
      </c>
      <c r="C62" s="14">
        <v>517102450000</v>
      </c>
      <c r="D62" s="12" t="s">
        <v>16</v>
      </c>
      <c r="E62" s="12" t="s">
        <v>107</v>
      </c>
      <c r="F62" s="12" t="s">
        <v>108</v>
      </c>
      <c r="G62" s="12" t="s">
        <v>140</v>
      </c>
      <c r="H62" s="13">
        <v>46155</v>
      </c>
      <c r="I62" s="13">
        <v>46157</v>
      </c>
      <c r="J62" s="12">
        <v>1</v>
      </c>
      <c r="K62" s="12">
        <v>1</v>
      </c>
      <c r="L62" s="12" t="s">
        <v>19</v>
      </c>
      <c r="M62" s="12">
        <v>1</v>
      </c>
    </row>
    <row r="63" spans="1:13" x14ac:dyDescent="0.25">
      <c r="A63" s="12" t="s">
        <v>206</v>
      </c>
      <c r="B63" s="12">
        <v>6016599</v>
      </c>
      <c r="C63" s="14">
        <v>469433935484</v>
      </c>
      <c r="D63" s="12" t="s">
        <v>16</v>
      </c>
      <c r="E63" s="12" t="s">
        <v>112</v>
      </c>
      <c r="F63" s="12" t="s">
        <v>108</v>
      </c>
      <c r="G63" s="12" t="s">
        <v>207</v>
      </c>
      <c r="H63" s="13">
        <v>46153</v>
      </c>
      <c r="I63" s="13">
        <v>46160</v>
      </c>
      <c r="J63" s="12">
        <v>1</v>
      </c>
      <c r="K63" s="12">
        <v>5</v>
      </c>
      <c r="L63" s="12" t="s">
        <v>19</v>
      </c>
      <c r="M63" s="12">
        <v>1</v>
      </c>
    </row>
    <row r="64" spans="1:13" x14ac:dyDescent="0.25">
      <c r="A64" s="12" t="s">
        <v>208</v>
      </c>
      <c r="B64" s="12">
        <v>6016600</v>
      </c>
      <c r="C64" s="14">
        <v>871203789584</v>
      </c>
      <c r="D64" s="12" t="s">
        <v>16</v>
      </c>
      <c r="E64" s="12" t="s">
        <v>107</v>
      </c>
      <c r="F64" s="12" t="s">
        <v>108</v>
      </c>
      <c r="G64" s="12" t="s">
        <v>113</v>
      </c>
      <c r="H64" s="13">
        <v>46146</v>
      </c>
      <c r="I64" s="13">
        <v>46163</v>
      </c>
      <c r="J64" s="12">
        <v>1</v>
      </c>
      <c r="K64" s="12">
        <v>2</v>
      </c>
      <c r="L64" s="12" t="s">
        <v>19</v>
      </c>
      <c r="M64" s="12">
        <v>1</v>
      </c>
    </row>
    <row r="65" spans="1:13" x14ac:dyDescent="0.25">
      <c r="A65" s="12" t="s">
        <v>209</v>
      </c>
      <c r="B65" s="12">
        <v>6016602</v>
      </c>
      <c r="C65" s="14">
        <v>457208399548</v>
      </c>
      <c r="D65" s="12" t="s">
        <v>16</v>
      </c>
      <c r="E65" s="12" t="s">
        <v>107</v>
      </c>
      <c r="F65" s="12" t="s">
        <v>108</v>
      </c>
      <c r="G65" s="12" t="s">
        <v>124</v>
      </c>
      <c r="H65" s="13">
        <v>46153</v>
      </c>
      <c r="I65" s="13">
        <v>46160</v>
      </c>
      <c r="J65" s="12">
        <v>1</v>
      </c>
      <c r="K65" s="12">
        <v>1</v>
      </c>
      <c r="L65" s="12" t="s">
        <v>19</v>
      </c>
      <c r="M65" s="12">
        <v>1</v>
      </c>
    </row>
    <row r="66" spans="1:13" x14ac:dyDescent="0.25">
      <c r="A66" s="12" t="s">
        <v>210</v>
      </c>
      <c r="B66" s="12">
        <v>6016605</v>
      </c>
      <c r="C66" s="14">
        <v>871556431343</v>
      </c>
      <c r="D66" s="12" t="s">
        <v>16</v>
      </c>
      <c r="E66" s="12" t="s">
        <v>107</v>
      </c>
      <c r="F66" s="12" t="s">
        <v>108</v>
      </c>
      <c r="G66" s="12" t="s">
        <v>124</v>
      </c>
      <c r="H66" s="13">
        <v>46153</v>
      </c>
      <c r="I66" s="13">
        <v>46160</v>
      </c>
      <c r="J66" s="12">
        <v>1</v>
      </c>
      <c r="K66" s="12">
        <v>1</v>
      </c>
      <c r="L66" s="12" t="s">
        <v>19</v>
      </c>
      <c r="M66" s="12">
        <v>1</v>
      </c>
    </row>
    <row r="67" spans="1:13" x14ac:dyDescent="0.25">
      <c r="A67" s="12" t="s">
        <v>211</v>
      </c>
      <c r="B67" s="12">
        <v>6016617</v>
      </c>
      <c r="C67" s="14">
        <v>871773213553</v>
      </c>
      <c r="D67" s="12" t="s">
        <v>16</v>
      </c>
      <c r="E67" s="12" t="s">
        <v>107</v>
      </c>
      <c r="F67" s="12" t="s">
        <v>108</v>
      </c>
      <c r="G67" s="12" t="s">
        <v>212</v>
      </c>
      <c r="H67" s="13">
        <v>46156</v>
      </c>
      <c r="I67" s="13">
        <v>46162</v>
      </c>
      <c r="J67" s="12">
        <v>1</v>
      </c>
      <c r="K67" s="12">
        <v>2</v>
      </c>
      <c r="L67" s="12" t="s">
        <v>19</v>
      </c>
      <c r="M67" s="12">
        <v>1</v>
      </c>
    </row>
    <row r="68" spans="1:13" x14ac:dyDescent="0.25">
      <c r="A68" s="12" t="s">
        <v>213</v>
      </c>
      <c r="B68" s="12">
        <v>6016620</v>
      </c>
      <c r="C68" s="14">
        <v>871708565716</v>
      </c>
      <c r="D68" s="12" t="s">
        <v>16</v>
      </c>
      <c r="E68" s="12" t="s">
        <v>152</v>
      </c>
      <c r="F68" s="12" t="s">
        <v>108</v>
      </c>
      <c r="G68" s="12" t="s">
        <v>214</v>
      </c>
      <c r="H68" s="13">
        <v>46156</v>
      </c>
      <c r="I68" s="13">
        <v>46162</v>
      </c>
      <c r="J68" s="12">
        <v>1</v>
      </c>
      <c r="K68" s="12">
        <v>1</v>
      </c>
      <c r="L68" s="12" t="s">
        <v>19</v>
      </c>
      <c r="M68" s="12">
        <v>1</v>
      </c>
    </row>
    <row r="69" spans="1:13" x14ac:dyDescent="0.25">
      <c r="A69" s="12" t="s">
        <v>215</v>
      </c>
      <c r="B69" s="12">
        <v>6016622</v>
      </c>
      <c r="C69" s="14">
        <v>871500267335</v>
      </c>
      <c r="D69" s="12" t="s">
        <v>16</v>
      </c>
      <c r="E69" s="12" t="s">
        <v>112</v>
      </c>
      <c r="F69" s="12" t="s">
        <v>108</v>
      </c>
      <c r="G69" s="12" t="s">
        <v>216</v>
      </c>
      <c r="H69" s="13">
        <v>46149</v>
      </c>
      <c r="I69" s="13">
        <v>46162</v>
      </c>
      <c r="J69" s="12">
        <v>1</v>
      </c>
      <c r="K69" s="12">
        <v>1</v>
      </c>
      <c r="L69" s="12" t="s">
        <v>19</v>
      </c>
      <c r="M69" s="12">
        <v>1</v>
      </c>
    </row>
    <row r="70" spans="1:13" x14ac:dyDescent="0.25">
      <c r="A70" s="12" t="s">
        <v>217</v>
      </c>
      <c r="B70" s="12">
        <v>6016626</v>
      </c>
      <c r="C70" s="14">
        <v>381234954548</v>
      </c>
      <c r="D70" s="12" t="s">
        <v>16</v>
      </c>
      <c r="E70" s="12" t="s">
        <v>146</v>
      </c>
      <c r="F70" s="12" t="s">
        <v>108</v>
      </c>
      <c r="G70" s="12" t="s">
        <v>113</v>
      </c>
      <c r="H70" s="13">
        <v>46156</v>
      </c>
      <c r="I70" s="13">
        <v>46162</v>
      </c>
      <c r="J70" s="12">
        <v>1</v>
      </c>
      <c r="K70" s="12">
        <v>18</v>
      </c>
      <c r="L70" s="12" t="s">
        <v>19</v>
      </c>
      <c r="M70" s="12">
        <v>1</v>
      </c>
    </row>
    <row r="71" spans="1:13" x14ac:dyDescent="0.25">
      <c r="A71" s="12" t="s">
        <v>218</v>
      </c>
      <c r="B71" s="12">
        <v>6016632</v>
      </c>
      <c r="C71" s="14">
        <v>526045703420</v>
      </c>
      <c r="D71" s="12" t="s">
        <v>16</v>
      </c>
      <c r="E71" s="12" t="s">
        <v>107</v>
      </c>
      <c r="F71" s="12" t="s">
        <v>108</v>
      </c>
      <c r="G71" s="12" t="s">
        <v>143</v>
      </c>
      <c r="H71" s="13">
        <v>46160</v>
      </c>
      <c r="I71" s="13">
        <v>46162</v>
      </c>
      <c r="J71" s="12">
        <v>1</v>
      </c>
      <c r="K71" s="12">
        <v>1</v>
      </c>
      <c r="L71" s="12" t="s">
        <v>19</v>
      </c>
      <c r="M71" s="12">
        <v>1</v>
      </c>
    </row>
    <row r="72" spans="1:13" x14ac:dyDescent="0.25">
      <c r="A72" s="12" t="s">
        <v>219</v>
      </c>
      <c r="B72" s="12">
        <v>6016635</v>
      </c>
      <c r="C72" s="14">
        <v>513941295563</v>
      </c>
      <c r="D72" s="12" t="s">
        <v>16</v>
      </c>
      <c r="E72" s="12" t="s">
        <v>152</v>
      </c>
      <c r="F72" s="12" t="s">
        <v>108</v>
      </c>
      <c r="G72" s="12" t="s">
        <v>113</v>
      </c>
      <c r="H72" s="13">
        <v>46149</v>
      </c>
      <c r="I72" s="13">
        <v>46164</v>
      </c>
      <c r="J72" s="12">
        <v>1</v>
      </c>
      <c r="K72" s="12">
        <v>1</v>
      </c>
      <c r="L72" s="12" t="s">
        <v>19</v>
      </c>
      <c r="M72" s="12">
        <v>1</v>
      </c>
    </row>
    <row r="73" spans="1:13" x14ac:dyDescent="0.25">
      <c r="A73" s="12" t="s">
        <v>220</v>
      </c>
      <c r="B73" s="12">
        <v>6016638</v>
      </c>
      <c r="C73" s="14">
        <v>871245663588</v>
      </c>
      <c r="D73" s="12" t="s">
        <v>16</v>
      </c>
      <c r="E73" s="12" t="s">
        <v>107</v>
      </c>
      <c r="F73" s="12" t="s">
        <v>108</v>
      </c>
      <c r="G73" s="12" t="s">
        <v>113</v>
      </c>
      <c r="H73" s="13">
        <v>46150</v>
      </c>
      <c r="I73" s="13">
        <v>46163</v>
      </c>
      <c r="J73" s="12">
        <v>1</v>
      </c>
      <c r="K73" s="12">
        <v>3</v>
      </c>
      <c r="L73" s="12" t="s">
        <v>19</v>
      </c>
      <c r="M73" s="12">
        <v>1</v>
      </c>
    </row>
    <row r="74" spans="1:13" x14ac:dyDescent="0.25">
      <c r="A74" s="12" t="s">
        <v>221</v>
      </c>
      <c r="B74" s="12">
        <v>6016645</v>
      </c>
      <c r="C74" s="14">
        <v>871732379983</v>
      </c>
      <c r="D74" s="12" t="s">
        <v>16</v>
      </c>
      <c r="E74" s="12" t="s">
        <v>107</v>
      </c>
      <c r="F74" s="12" t="s">
        <v>108</v>
      </c>
      <c r="G74" s="12" t="s">
        <v>222</v>
      </c>
      <c r="H74" s="13">
        <v>46160</v>
      </c>
      <c r="I74" s="13">
        <v>46163</v>
      </c>
      <c r="J74" s="12">
        <v>1</v>
      </c>
      <c r="K74" s="12">
        <v>1</v>
      </c>
      <c r="L74" s="12" t="s">
        <v>19</v>
      </c>
      <c r="M74" s="12">
        <v>1</v>
      </c>
    </row>
    <row r="75" spans="1:13" x14ac:dyDescent="0.25">
      <c r="A75" s="12" t="s">
        <v>223</v>
      </c>
      <c r="B75" s="12">
        <v>6016649</v>
      </c>
      <c r="C75" s="14">
        <v>381046528088</v>
      </c>
      <c r="D75" s="12" t="s">
        <v>16</v>
      </c>
      <c r="E75" s="12" t="s">
        <v>146</v>
      </c>
      <c r="F75" s="12" t="s">
        <v>108</v>
      </c>
      <c r="G75" s="12" t="s">
        <v>113</v>
      </c>
      <c r="H75" s="13">
        <v>46161</v>
      </c>
      <c r="I75" s="13">
        <v>46170</v>
      </c>
      <c r="J75" s="12">
        <v>1</v>
      </c>
      <c r="K75" s="12">
        <v>19</v>
      </c>
      <c r="L75" s="12" t="s">
        <v>19</v>
      </c>
      <c r="M75" s="12">
        <v>1</v>
      </c>
    </row>
    <row r="76" spans="1:13" x14ac:dyDescent="0.25">
      <c r="A76" s="12" t="s">
        <v>224</v>
      </c>
      <c r="B76" s="12">
        <v>6016652</v>
      </c>
      <c r="C76" s="14">
        <v>871662410090</v>
      </c>
      <c r="D76" s="12" t="s">
        <v>16</v>
      </c>
      <c r="E76" s="12" t="s">
        <v>112</v>
      </c>
      <c r="F76" s="12" t="s">
        <v>108</v>
      </c>
      <c r="G76" s="12" t="s">
        <v>118</v>
      </c>
      <c r="H76" s="13">
        <v>46155</v>
      </c>
      <c r="I76" s="13">
        <v>46164</v>
      </c>
      <c r="J76" s="12">
        <v>1</v>
      </c>
      <c r="K76" s="12">
        <v>1</v>
      </c>
      <c r="L76" s="12" t="s">
        <v>19</v>
      </c>
      <c r="M76" s="12">
        <v>1</v>
      </c>
    </row>
    <row r="77" spans="1:13" x14ac:dyDescent="0.25">
      <c r="A77" s="12" t="s">
        <v>225</v>
      </c>
      <c r="B77" s="12">
        <v>6016653</v>
      </c>
      <c r="C77" s="14">
        <v>871830867983</v>
      </c>
      <c r="D77" s="12" t="s">
        <v>16</v>
      </c>
      <c r="E77" s="12" t="s">
        <v>152</v>
      </c>
      <c r="F77" s="12" t="s">
        <v>108</v>
      </c>
      <c r="G77" s="12" t="s">
        <v>126</v>
      </c>
      <c r="H77" s="13">
        <v>46161</v>
      </c>
      <c r="I77" s="13">
        <v>46163</v>
      </c>
      <c r="J77" s="12">
        <v>1</v>
      </c>
      <c r="K77" s="12">
        <v>1</v>
      </c>
      <c r="L77" s="12" t="s">
        <v>19</v>
      </c>
      <c r="M77" s="12">
        <v>1</v>
      </c>
    </row>
    <row r="78" spans="1:13" x14ac:dyDescent="0.25">
      <c r="A78" s="12" t="s">
        <v>226</v>
      </c>
      <c r="B78" s="12">
        <v>6016654</v>
      </c>
      <c r="C78" s="14">
        <v>526045703431</v>
      </c>
      <c r="D78" s="12" t="s">
        <v>16</v>
      </c>
      <c r="E78" s="12" t="s">
        <v>107</v>
      </c>
      <c r="F78" s="12" t="s">
        <v>108</v>
      </c>
      <c r="G78" s="12" t="s">
        <v>143</v>
      </c>
      <c r="H78" s="13">
        <v>46161</v>
      </c>
      <c r="I78" s="13">
        <v>46163</v>
      </c>
      <c r="J78" s="12">
        <v>1</v>
      </c>
      <c r="K78" s="12">
        <v>1</v>
      </c>
      <c r="L78" s="12" t="s">
        <v>19</v>
      </c>
      <c r="M78" s="12">
        <v>1</v>
      </c>
    </row>
    <row r="79" spans="1:13" x14ac:dyDescent="0.25">
      <c r="A79" s="12" t="s">
        <v>227</v>
      </c>
      <c r="B79" s="12">
        <v>6016656</v>
      </c>
      <c r="C79" s="14">
        <v>871789096439</v>
      </c>
      <c r="D79" s="12" t="s">
        <v>16</v>
      </c>
      <c r="E79" s="12" t="s">
        <v>107</v>
      </c>
      <c r="F79" s="12" t="s">
        <v>108</v>
      </c>
      <c r="G79" s="12" t="s">
        <v>228</v>
      </c>
      <c r="H79" s="13">
        <v>46160</v>
      </c>
      <c r="I79" s="13">
        <v>46163</v>
      </c>
      <c r="J79" s="12">
        <v>1</v>
      </c>
      <c r="K79" s="12">
        <v>9</v>
      </c>
      <c r="L79" s="12" t="s">
        <v>19</v>
      </c>
      <c r="M79" s="12">
        <v>1</v>
      </c>
    </row>
    <row r="80" spans="1:13" x14ac:dyDescent="0.25">
      <c r="A80" s="12" t="s">
        <v>229</v>
      </c>
      <c r="B80" s="12">
        <v>6016660</v>
      </c>
      <c r="C80" s="14">
        <v>524389643996</v>
      </c>
      <c r="D80" s="12" t="s">
        <v>16</v>
      </c>
      <c r="E80" s="12" t="s">
        <v>107</v>
      </c>
      <c r="F80" s="12" t="s">
        <v>108</v>
      </c>
      <c r="G80" s="12" t="s">
        <v>143</v>
      </c>
      <c r="H80" s="13">
        <v>46156</v>
      </c>
      <c r="I80" s="13">
        <v>46167</v>
      </c>
      <c r="J80" s="12">
        <v>1</v>
      </c>
      <c r="K80" s="12">
        <v>2</v>
      </c>
      <c r="L80" s="12" t="s">
        <v>19</v>
      </c>
      <c r="M80" s="12">
        <v>1</v>
      </c>
    </row>
    <row r="81" spans="1:13" x14ac:dyDescent="0.25">
      <c r="A81" s="12" t="s">
        <v>230</v>
      </c>
      <c r="B81" s="12">
        <v>6016664</v>
      </c>
      <c r="C81" s="14">
        <v>871751544660</v>
      </c>
      <c r="D81" s="12" t="s">
        <v>16</v>
      </c>
      <c r="E81" s="12" t="s">
        <v>112</v>
      </c>
      <c r="F81" s="12" t="s">
        <v>108</v>
      </c>
      <c r="G81" s="12" t="s">
        <v>129</v>
      </c>
      <c r="H81" s="13">
        <v>46160</v>
      </c>
      <c r="I81" s="13">
        <v>46163</v>
      </c>
      <c r="J81" s="12">
        <v>1</v>
      </c>
      <c r="K81" s="12">
        <v>5</v>
      </c>
      <c r="L81" s="12" t="s">
        <v>19</v>
      </c>
      <c r="M81" s="12">
        <v>1</v>
      </c>
    </row>
    <row r="82" spans="1:13" x14ac:dyDescent="0.25">
      <c r="A82" s="12" t="s">
        <v>231</v>
      </c>
      <c r="B82" s="12">
        <v>6016668</v>
      </c>
      <c r="C82" s="14">
        <v>871413234856</v>
      </c>
      <c r="D82" s="12" t="s">
        <v>16</v>
      </c>
      <c r="E82" s="12" t="s">
        <v>112</v>
      </c>
      <c r="F82" s="12" t="s">
        <v>108</v>
      </c>
      <c r="G82" s="12" t="s">
        <v>113</v>
      </c>
      <c r="H82" s="13">
        <v>46153</v>
      </c>
      <c r="I82" s="13">
        <v>46164</v>
      </c>
      <c r="J82" s="12">
        <v>1</v>
      </c>
      <c r="K82" s="12">
        <v>1</v>
      </c>
      <c r="L82" s="12" t="s">
        <v>19</v>
      </c>
      <c r="M82" s="12">
        <v>1</v>
      </c>
    </row>
    <row r="83" spans="1:13" x14ac:dyDescent="0.25">
      <c r="A83" s="12" t="s">
        <v>232</v>
      </c>
      <c r="B83" s="12">
        <v>6016669</v>
      </c>
      <c r="C83" s="14">
        <v>474444885450</v>
      </c>
      <c r="D83" s="12" t="s">
        <v>16</v>
      </c>
      <c r="E83" s="12" t="s">
        <v>107</v>
      </c>
      <c r="F83" s="12" t="s">
        <v>108</v>
      </c>
      <c r="G83" s="12" t="s">
        <v>113</v>
      </c>
      <c r="H83" s="13">
        <v>46160</v>
      </c>
      <c r="I83" s="13">
        <v>46164</v>
      </c>
      <c r="J83" s="12">
        <v>1</v>
      </c>
      <c r="K83" s="12">
        <v>1</v>
      </c>
      <c r="L83" s="12" t="s">
        <v>19</v>
      </c>
      <c r="M83" s="12">
        <v>1</v>
      </c>
    </row>
    <row r="84" spans="1:13" x14ac:dyDescent="0.25">
      <c r="A84" s="12" t="s">
        <v>233</v>
      </c>
      <c r="B84" s="12">
        <v>6016670</v>
      </c>
      <c r="C84" s="14">
        <v>474444885460</v>
      </c>
      <c r="D84" s="12" t="s">
        <v>16</v>
      </c>
      <c r="E84" s="12" t="s">
        <v>107</v>
      </c>
      <c r="F84" s="12" t="s">
        <v>108</v>
      </c>
      <c r="G84" s="12" t="s">
        <v>113</v>
      </c>
      <c r="H84" s="13">
        <v>46160</v>
      </c>
      <c r="I84" s="13">
        <v>46164</v>
      </c>
      <c r="J84" s="12">
        <v>1</v>
      </c>
      <c r="K84" s="12">
        <v>1</v>
      </c>
      <c r="L84" s="12" t="s">
        <v>19</v>
      </c>
      <c r="M84" s="12">
        <v>1</v>
      </c>
    </row>
    <row r="85" spans="1:13" x14ac:dyDescent="0.25">
      <c r="A85" s="12" t="s">
        <v>234</v>
      </c>
      <c r="B85" s="12">
        <v>6016671</v>
      </c>
      <c r="C85" s="14">
        <v>517102450673</v>
      </c>
      <c r="D85" s="12" t="s">
        <v>16</v>
      </c>
      <c r="E85" s="12" t="s">
        <v>107</v>
      </c>
      <c r="F85" s="12" t="s">
        <v>108</v>
      </c>
      <c r="G85" s="12" t="s">
        <v>140</v>
      </c>
      <c r="H85" s="13">
        <v>46161</v>
      </c>
      <c r="I85" s="13">
        <v>46164</v>
      </c>
      <c r="J85" s="12">
        <v>1</v>
      </c>
      <c r="K85" s="12">
        <v>1</v>
      </c>
      <c r="L85" s="12" t="s">
        <v>19</v>
      </c>
      <c r="M85" s="12">
        <v>1</v>
      </c>
    </row>
    <row r="86" spans="1:13" x14ac:dyDescent="0.25">
      <c r="A86" s="12" t="s">
        <v>235</v>
      </c>
      <c r="B86" s="12">
        <v>6016676</v>
      </c>
      <c r="C86" s="14">
        <v>871932259892</v>
      </c>
      <c r="D86" s="12" t="s">
        <v>16</v>
      </c>
      <c r="E86" s="12" t="s">
        <v>17</v>
      </c>
      <c r="F86" s="12" t="s">
        <v>108</v>
      </c>
      <c r="G86" s="12" t="s">
        <v>236</v>
      </c>
      <c r="H86" s="13">
        <v>46162</v>
      </c>
      <c r="I86" s="13">
        <v>46167</v>
      </c>
      <c r="J86" s="12">
        <v>1</v>
      </c>
      <c r="K86" s="12">
        <v>1</v>
      </c>
      <c r="L86" s="12" t="s">
        <v>19</v>
      </c>
      <c r="M86" s="12">
        <v>1</v>
      </c>
    </row>
    <row r="87" spans="1:13" x14ac:dyDescent="0.25">
      <c r="A87" s="12" t="s">
        <v>237</v>
      </c>
      <c r="B87" s="12">
        <v>6016680</v>
      </c>
      <c r="C87" s="14">
        <v>381398709793</v>
      </c>
      <c r="D87" s="12" t="s">
        <v>16</v>
      </c>
      <c r="E87" s="12" t="s">
        <v>146</v>
      </c>
      <c r="F87" s="12" t="s">
        <v>108</v>
      </c>
      <c r="G87" s="12" t="s">
        <v>113</v>
      </c>
      <c r="H87" s="13">
        <v>46163</v>
      </c>
      <c r="I87" s="13">
        <v>46164</v>
      </c>
      <c r="J87" s="12">
        <v>1</v>
      </c>
      <c r="K87" s="12">
        <v>20</v>
      </c>
      <c r="L87" s="12" t="s">
        <v>19</v>
      </c>
      <c r="M87" s="12">
        <v>1</v>
      </c>
    </row>
    <row r="88" spans="1:13" x14ac:dyDescent="0.25">
      <c r="A88" s="12" t="s">
        <v>238</v>
      </c>
      <c r="B88" s="12">
        <v>6016681</v>
      </c>
      <c r="C88" s="14">
        <v>517102450710</v>
      </c>
      <c r="D88" s="12" t="s">
        <v>16</v>
      </c>
      <c r="E88" s="12" t="s">
        <v>107</v>
      </c>
      <c r="F88" s="12" t="s">
        <v>108</v>
      </c>
      <c r="G88" s="12" t="s">
        <v>140</v>
      </c>
      <c r="H88" s="13">
        <v>46161</v>
      </c>
      <c r="I88" s="13">
        <v>46164</v>
      </c>
      <c r="J88" s="12">
        <v>1</v>
      </c>
      <c r="K88" s="12">
        <v>1</v>
      </c>
      <c r="L88" s="12" t="s">
        <v>19</v>
      </c>
      <c r="M88" s="12">
        <v>1</v>
      </c>
    </row>
    <row r="89" spans="1:13" x14ac:dyDescent="0.25">
      <c r="A89" s="12" t="s">
        <v>239</v>
      </c>
      <c r="B89" s="12">
        <v>6016684</v>
      </c>
      <c r="C89" s="14">
        <v>871689098932</v>
      </c>
      <c r="D89" s="12" t="s">
        <v>16</v>
      </c>
      <c r="E89" s="12" t="s">
        <v>107</v>
      </c>
      <c r="F89" s="12" t="s">
        <v>108</v>
      </c>
      <c r="G89" s="12" t="s">
        <v>240</v>
      </c>
      <c r="H89" s="13">
        <v>46161</v>
      </c>
      <c r="I89" s="13">
        <v>46167</v>
      </c>
      <c r="J89" s="12">
        <v>1</v>
      </c>
      <c r="K89" s="12">
        <v>1</v>
      </c>
      <c r="L89" s="12" t="s">
        <v>19</v>
      </c>
      <c r="M89" s="12">
        <v>1</v>
      </c>
    </row>
    <row r="90" spans="1:13" x14ac:dyDescent="0.25">
      <c r="A90" s="12" t="s">
        <v>241</v>
      </c>
      <c r="B90" s="12">
        <v>6016688</v>
      </c>
      <c r="C90" s="14">
        <v>517102451419</v>
      </c>
      <c r="D90" s="12" t="s">
        <v>16</v>
      </c>
      <c r="E90" s="12" t="s">
        <v>107</v>
      </c>
      <c r="F90" s="12" t="s">
        <v>108</v>
      </c>
      <c r="G90" s="12" t="s">
        <v>140</v>
      </c>
      <c r="H90" s="13">
        <v>46163</v>
      </c>
      <c r="I90" s="13">
        <v>46164</v>
      </c>
      <c r="J90" s="12">
        <v>1</v>
      </c>
      <c r="K90" s="12">
        <v>1</v>
      </c>
      <c r="L90" s="12" t="s">
        <v>19</v>
      </c>
      <c r="M90" s="12">
        <v>1</v>
      </c>
    </row>
    <row r="91" spans="1:13" x14ac:dyDescent="0.25">
      <c r="A91" s="12" t="s">
        <v>242</v>
      </c>
      <c r="B91" s="12">
        <v>6016693</v>
      </c>
      <c r="C91" s="14">
        <v>871786911398</v>
      </c>
      <c r="D91" s="12" t="s">
        <v>16</v>
      </c>
      <c r="E91" s="12" t="s">
        <v>107</v>
      </c>
      <c r="F91" s="12" t="s">
        <v>108</v>
      </c>
      <c r="G91" s="12" t="s">
        <v>192</v>
      </c>
      <c r="H91" s="13">
        <v>46162</v>
      </c>
      <c r="I91" s="13">
        <v>46172</v>
      </c>
      <c r="J91" s="12">
        <v>1</v>
      </c>
      <c r="K91" s="12">
        <v>2</v>
      </c>
      <c r="L91" s="12" t="s">
        <v>19</v>
      </c>
      <c r="M91" s="12">
        <v>1</v>
      </c>
    </row>
    <row r="92" spans="1:13" x14ac:dyDescent="0.25">
      <c r="A92" s="12" t="s">
        <v>243</v>
      </c>
      <c r="B92" s="12">
        <v>6016695</v>
      </c>
      <c r="C92" s="14">
        <v>381466303806</v>
      </c>
      <c r="D92" s="12" t="s">
        <v>16</v>
      </c>
      <c r="E92" s="12" t="s">
        <v>191</v>
      </c>
      <c r="F92" s="12" t="s">
        <v>108</v>
      </c>
      <c r="G92" s="12" t="s">
        <v>244</v>
      </c>
      <c r="H92" s="13">
        <v>46163</v>
      </c>
      <c r="I92" s="13">
        <v>46168</v>
      </c>
      <c r="J92" s="12">
        <v>1</v>
      </c>
      <c r="K92" s="12">
        <v>1</v>
      </c>
      <c r="L92" s="12" t="s">
        <v>19</v>
      </c>
      <c r="M92" s="12">
        <v>1</v>
      </c>
    </row>
    <row r="93" spans="1:13" x14ac:dyDescent="0.25">
      <c r="A93" s="12" t="s">
        <v>245</v>
      </c>
      <c r="B93" s="12">
        <v>6016697</v>
      </c>
      <c r="C93" s="14">
        <v>871816186596</v>
      </c>
      <c r="D93" s="12" t="s">
        <v>16</v>
      </c>
      <c r="E93" s="12" t="s">
        <v>191</v>
      </c>
      <c r="F93" s="12" t="s">
        <v>108</v>
      </c>
      <c r="G93" s="12" t="s">
        <v>246</v>
      </c>
      <c r="H93" s="13">
        <v>46160</v>
      </c>
      <c r="I93" s="13">
        <v>46168</v>
      </c>
      <c r="J93" s="12">
        <v>1</v>
      </c>
      <c r="K93" s="12">
        <v>4</v>
      </c>
      <c r="L93" s="12" t="s">
        <v>19</v>
      </c>
      <c r="M93" s="12">
        <v>1</v>
      </c>
    </row>
    <row r="94" spans="1:13" x14ac:dyDescent="0.25">
      <c r="A94" s="12" t="s">
        <v>247</v>
      </c>
      <c r="B94" s="12">
        <v>6016704</v>
      </c>
      <c r="C94" s="14">
        <v>871158590200</v>
      </c>
      <c r="D94" s="12" t="s">
        <v>16</v>
      </c>
      <c r="E94" s="12" t="s">
        <v>248</v>
      </c>
      <c r="F94" s="12" t="s">
        <v>108</v>
      </c>
      <c r="G94" s="12" t="s">
        <v>113</v>
      </c>
      <c r="H94" s="13">
        <v>46146</v>
      </c>
      <c r="I94" s="13">
        <v>46168</v>
      </c>
      <c r="J94" s="12">
        <v>1</v>
      </c>
      <c r="K94" s="12">
        <v>1</v>
      </c>
      <c r="L94" s="12" t="s">
        <v>19</v>
      </c>
      <c r="M94" s="12">
        <v>1</v>
      </c>
    </row>
    <row r="95" spans="1:13" x14ac:dyDescent="0.25">
      <c r="A95" s="12" t="s">
        <v>249</v>
      </c>
      <c r="B95" s="12">
        <v>6016708</v>
      </c>
      <c r="C95" s="14">
        <v>871703062310</v>
      </c>
      <c r="D95" s="12" t="s">
        <v>16</v>
      </c>
      <c r="E95" s="12" t="s">
        <v>107</v>
      </c>
      <c r="F95" s="12" t="s">
        <v>108</v>
      </c>
      <c r="G95" s="12" t="s">
        <v>250</v>
      </c>
      <c r="H95" s="13">
        <v>46163</v>
      </c>
      <c r="I95" s="13">
        <v>46168</v>
      </c>
      <c r="J95" s="12">
        <v>1</v>
      </c>
      <c r="K95" s="12">
        <v>2</v>
      </c>
      <c r="L95" s="12" t="s">
        <v>19</v>
      </c>
      <c r="M95" s="12">
        <v>1</v>
      </c>
    </row>
    <row r="96" spans="1:13" x14ac:dyDescent="0.25">
      <c r="A96" s="12" t="s">
        <v>251</v>
      </c>
      <c r="B96" s="12">
        <v>6016713</v>
      </c>
      <c r="C96" s="14">
        <v>871636373911</v>
      </c>
      <c r="D96" s="12" t="s">
        <v>16</v>
      </c>
      <c r="E96" s="12" t="s">
        <v>112</v>
      </c>
      <c r="F96" s="12" t="s">
        <v>108</v>
      </c>
      <c r="G96" s="12" t="s">
        <v>113</v>
      </c>
      <c r="H96" s="13">
        <v>46160</v>
      </c>
      <c r="I96" s="13">
        <v>46169</v>
      </c>
      <c r="J96" s="12">
        <v>1</v>
      </c>
      <c r="K96" s="12">
        <v>6</v>
      </c>
      <c r="L96" s="12" t="s">
        <v>19</v>
      </c>
      <c r="M96" s="12">
        <v>1</v>
      </c>
    </row>
    <row r="97" spans="1:13" x14ac:dyDescent="0.25">
      <c r="A97" s="12" t="s">
        <v>252</v>
      </c>
      <c r="B97" s="12">
        <v>6016715</v>
      </c>
      <c r="C97" s="14">
        <v>872034790810</v>
      </c>
      <c r="D97" s="12" t="s">
        <v>16</v>
      </c>
      <c r="E97" s="12" t="s">
        <v>132</v>
      </c>
      <c r="F97" s="12" t="s">
        <v>108</v>
      </c>
      <c r="G97" s="12" t="s">
        <v>253</v>
      </c>
      <c r="H97" s="13">
        <v>46163</v>
      </c>
      <c r="I97" s="13">
        <v>46169</v>
      </c>
      <c r="J97" s="12">
        <v>1</v>
      </c>
      <c r="K97" s="12">
        <v>1</v>
      </c>
      <c r="L97" s="12" t="s">
        <v>19</v>
      </c>
      <c r="M97" s="12">
        <v>1</v>
      </c>
    </row>
    <row r="98" spans="1:13" x14ac:dyDescent="0.25">
      <c r="A98" s="12" t="s">
        <v>254</v>
      </c>
      <c r="B98" s="12">
        <v>6016716</v>
      </c>
      <c r="C98" s="14">
        <v>871924724816</v>
      </c>
      <c r="D98" s="12" t="s">
        <v>16</v>
      </c>
      <c r="E98" s="12" t="s">
        <v>112</v>
      </c>
      <c r="F98" s="12" t="s">
        <v>108</v>
      </c>
      <c r="G98" s="12" t="s">
        <v>255</v>
      </c>
      <c r="H98" s="13">
        <v>46164</v>
      </c>
      <c r="I98" s="13">
        <v>46170</v>
      </c>
      <c r="J98" s="12">
        <v>1</v>
      </c>
      <c r="K98" s="12">
        <v>1</v>
      </c>
      <c r="L98" s="12" t="s">
        <v>19</v>
      </c>
      <c r="M98" s="12">
        <v>1</v>
      </c>
    </row>
    <row r="99" spans="1:13" x14ac:dyDescent="0.25">
      <c r="A99" s="12" t="s">
        <v>256</v>
      </c>
      <c r="B99" s="12">
        <v>6016722</v>
      </c>
      <c r="C99" s="14">
        <v>870993369159</v>
      </c>
      <c r="D99" s="12" t="s">
        <v>16</v>
      </c>
      <c r="E99" s="12" t="s">
        <v>107</v>
      </c>
      <c r="F99" s="12" t="s">
        <v>108</v>
      </c>
      <c r="G99" s="12" t="s">
        <v>113</v>
      </c>
      <c r="H99" s="13">
        <v>46140</v>
      </c>
      <c r="I99" s="13">
        <v>46170</v>
      </c>
      <c r="J99" s="12">
        <v>1</v>
      </c>
      <c r="K99" s="12">
        <v>1</v>
      </c>
      <c r="L99" s="12" t="s">
        <v>19</v>
      </c>
      <c r="M99" s="12">
        <v>1</v>
      </c>
    </row>
    <row r="100" spans="1:13" x14ac:dyDescent="0.25">
      <c r="A100" s="12" t="s">
        <v>257</v>
      </c>
      <c r="B100" s="12">
        <v>6016727</v>
      </c>
      <c r="C100" s="14">
        <v>871926432602</v>
      </c>
      <c r="D100" s="12" t="s">
        <v>16</v>
      </c>
      <c r="E100" s="12" t="s">
        <v>132</v>
      </c>
      <c r="F100" s="12" t="s">
        <v>108</v>
      </c>
      <c r="G100" s="12" t="s">
        <v>113</v>
      </c>
      <c r="H100" s="13">
        <v>46162</v>
      </c>
      <c r="I100" s="13">
        <v>46169</v>
      </c>
      <c r="J100" s="12">
        <v>1</v>
      </c>
      <c r="K100" s="12">
        <v>1</v>
      </c>
      <c r="L100" s="12" t="s">
        <v>19</v>
      </c>
      <c r="M100" s="12">
        <v>1</v>
      </c>
    </row>
    <row r="101" spans="1:13" x14ac:dyDescent="0.25">
      <c r="A101" s="12" t="s">
        <v>258</v>
      </c>
      <c r="B101" s="12">
        <v>6016731</v>
      </c>
      <c r="C101" s="14">
        <v>474444885769</v>
      </c>
      <c r="D101" s="12" t="s">
        <v>16</v>
      </c>
      <c r="E101" s="12" t="s">
        <v>107</v>
      </c>
      <c r="F101" s="12" t="s">
        <v>108</v>
      </c>
      <c r="G101" s="12" t="s">
        <v>113</v>
      </c>
      <c r="H101" s="13">
        <v>46168</v>
      </c>
      <c r="I101" s="13">
        <v>46172</v>
      </c>
      <c r="J101" s="12">
        <v>1</v>
      </c>
      <c r="K101" s="12">
        <v>1</v>
      </c>
      <c r="L101" s="12" t="s">
        <v>19</v>
      </c>
      <c r="M101" s="12">
        <v>1</v>
      </c>
    </row>
    <row r="102" spans="1:13" ht="12.65" customHeight="1" x14ac:dyDescent="0.25">
      <c r="A102" s="12" t="s">
        <v>259</v>
      </c>
      <c r="B102" s="12">
        <v>6016733</v>
      </c>
      <c r="C102" s="16" t="s">
        <v>260</v>
      </c>
      <c r="D102" s="12" t="s">
        <v>16</v>
      </c>
      <c r="E102" s="12" t="s">
        <v>107</v>
      </c>
      <c r="F102" s="12" t="s">
        <v>108</v>
      </c>
      <c r="G102" s="12" t="s">
        <v>143</v>
      </c>
      <c r="H102" s="13">
        <v>46168</v>
      </c>
      <c r="I102" s="13">
        <v>46170</v>
      </c>
      <c r="J102" s="12">
        <v>4</v>
      </c>
      <c r="K102" s="12">
        <v>4</v>
      </c>
      <c r="L102" s="12" t="s">
        <v>19</v>
      </c>
      <c r="M102" s="12">
        <v>4</v>
      </c>
    </row>
    <row r="103" spans="1:13" ht="12.65" customHeight="1" x14ac:dyDescent="0.25">
      <c r="A103" s="12" t="s">
        <v>261</v>
      </c>
      <c r="B103" s="12">
        <v>6016757</v>
      </c>
      <c r="C103" s="14">
        <v>381543162054</v>
      </c>
      <c r="D103" s="12" t="s">
        <v>16</v>
      </c>
      <c r="E103" s="12" t="s">
        <v>146</v>
      </c>
      <c r="F103" s="12" t="s">
        <v>108</v>
      </c>
      <c r="G103" s="12" t="s">
        <v>113</v>
      </c>
      <c r="H103" s="13">
        <v>46169</v>
      </c>
      <c r="I103" s="13">
        <v>46171</v>
      </c>
      <c r="J103" s="12">
        <v>1</v>
      </c>
      <c r="K103" s="12">
        <v>18</v>
      </c>
      <c r="L103" s="12" t="s">
        <v>19</v>
      </c>
      <c r="M103" s="12">
        <v>1</v>
      </c>
    </row>
    <row r="104" spans="1:13" ht="12.65" customHeight="1" x14ac:dyDescent="0.25">
      <c r="A104" s="12" t="s">
        <v>262</v>
      </c>
      <c r="B104" s="12">
        <v>6016761</v>
      </c>
      <c r="C104" s="16" t="s">
        <v>263</v>
      </c>
      <c r="D104" s="12" t="s">
        <v>16</v>
      </c>
      <c r="E104" s="12" t="s">
        <v>107</v>
      </c>
      <c r="F104" s="12" t="s">
        <v>108</v>
      </c>
      <c r="G104" s="12" t="s">
        <v>143</v>
      </c>
      <c r="H104" s="13">
        <v>46168</v>
      </c>
      <c r="I104" s="13">
        <v>46172</v>
      </c>
      <c r="J104" s="12">
        <v>4</v>
      </c>
      <c r="K104" s="12">
        <v>6</v>
      </c>
      <c r="L104" s="12" t="s">
        <v>19</v>
      </c>
      <c r="M104" s="12">
        <v>4</v>
      </c>
    </row>
    <row r="105" spans="1:13" x14ac:dyDescent="0.25">
      <c r="A105" s="12" t="s">
        <v>264</v>
      </c>
      <c r="B105" s="12">
        <v>6016762</v>
      </c>
      <c r="C105" s="14">
        <v>871876131952</v>
      </c>
      <c r="D105" s="12" t="s">
        <v>16</v>
      </c>
      <c r="E105" s="12" t="s">
        <v>191</v>
      </c>
      <c r="F105" s="12" t="s">
        <v>108</v>
      </c>
      <c r="G105" s="12" t="s">
        <v>265</v>
      </c>
      <c r="H105" s="13">
        <v>46164</v>
      </c>
      <c r="I105" s="13">
        <v>46171</v>
      </c>
      <c r="J105" s="12">
        <v>1</v>
      </c>
      <c r="K105" s="12">
        <v>1</v>
      </c>
      <c r="L105" s="12" t="s">
        <v>19</v>
      </c>
      <c r="M105" s="12">
        <v>1</v>
      </c>
    </row>
    <row r="106" spans="1:13" x14ac:dyDescent="0.25">
      <c r="A106" s="12" t="s">
        <v>266</v>
      </c>
      <c r="B106" s="12">
        <v>6016765</v>
      </c>
      <c r="C106" s="14">
        <v>871827191467</v>
      </c>
      <c r="D106" s="12" t="s">
        <v>16</v>
      </c>
      <c r="E106" s="12" t="s">
        <v>107</v>
      </c>
      <c r="F106" s="12" t="s">
        <v>108</v>
      </c>
      <c r="G106" s="12" t="s">
        <v>113</v>
      </c>
      <c r="H106" s="13">
        <v>46162</v>
      </c>
      <c r="I106" s="13">
        <v>46171</v>
      </c>
      <c r="J106" s="12">
        <v>1</v>
      </c>
      <c r="K106" s="12">
        <v>4</v>
      </c>
      <c r="L106" s="12" t="s">
        <v>19</v>
      </c>
      <c r="M106" s="12">
        <v>1</v>
      </c>
    </row>
    <row r="107" spans="1:13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2">
        <v>114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0566-8A66-4ED2-9C31-C2E53FDB71F1}">
  <dimension ref="A1:F22"/>
  <sheetViews>
    <sheetView workbookViewId="0">
      <selection activeCell="C32" sqref="C32"/>
    </sheetView>
  </sheetViews>
  <sheetFormatPr baseColWidth="10" defaultRowHeight="14.5" x14ac:dyDescent="0.35"/>
  <cols>
    <col min="2" max="2" width="15" bestFit="1" customWidth="1"/>
    <col min="3" max="3" width="15.36328125" bestFit="1" customWidth="1"/>
    <col min="4" max="4" width="14.90625" bestFit="1" customWidth="1"/>
    <col min="5" max="5" width="15.6328125" customWidth="1"/>
    <col min="6" max="6" width="59.54296875" bestFit="1" customWidth="1"/>
  </cols>
  <sheetData>
    <row r="1" spans="1:6" x14ac:dyDescent="0.35">
      <c r="A1" s="2" t="s">
        <v>314</v>
      </c>
      <c r="B1" s="3" t="s">
        <v>306</v>
      </c>
      <c r="C1" s="3" t="s">
        <v>313</v>
      </c>
      <c r="D1" s="3" t="s">
        <v>312</v>
      </c>
      <c r="E1" s="3" t="s">
        <v>311</v>
      </c>
      <c r="F1" s="3" t="s">
        <v>310</v>
      </c>
    </row>
    <row r="2" spans="1:6" x14ac:dyDescent="0.35">
      <c r="A2" s="27">
        <v>1</v>
      </c>
      <c r="B2" s="27" t="s">
        <v>36</v>
      </c>
      <c r="C2" s="27" t="s">
        <v>37</v>
      </c>
      <c r="D2" s="27" t="s">
        <v>38</v>
      </c>
      <c r="E2" s="27">
        <v>267</v>
      </c>
      <c r="F2" s="27" t="s">
        <v>39</v>
      </c>
    </row>
    <row r="3" spans="1:6" x14ac:dyDescent="0.35">
      <c r="A3" s="27">
        <v>2</v>
      </c>
      <c r="B3" s="27" t="s">
        <v>40</v>
      </c>
      <c r="C3" s="27" t="s">
        <v>41</v>
      </c>
      <c r="D3" s="27" t="s">
        <v>38</v>
      </c>
      <c r="E3" s="27">
        <v>267</v>
      </c>
      <c r="F3" s="27" t="s">
        <v>42</v>
      </c>
    </row>
    <row r="4" spans="1:6" x14ac:dyDescent="0.35">
      <c r="A4" s="27">
        <v>3</v>
      </c>
      <c r="B4" s="27" t="s">
        <v>43</v>
      </c>
      <c r="C4" s="27" t="s">
        <v>44</v>
      </c>
      <c r="D4" s="27" t="s">
        <v>38</v>
      </c>
      <c r="E4" s="27">
        <v>267</v>
      </c>
      <c r="F4" s="27" t="s">
        <v>45</v>
      </c>
    </row>
    <row r="5" spans="1:6" x14ac:dyDescent="0.35">
      <c r="A5" s="27">
        <v>4</v>
      </c>
      <c r="B5" s="27" t="s">
        <v>46</v>
      </c>
      <c r="C5" s="27" t="s">
        <v>47</v>
      </c>
      <c r="D5" s="27" t="s">
        <v>38</v>
      </c>
      <c r="E5" s="27">
        <v>267</v>
      </c>
      <c r="F5" s="27" t="s">
        <v>48</v>
      </c>
    </row>
    <row r="6" spans="1:6" x14ac:dyDescent="0.35">
      <c r="A6" s="27">
        <v>5</v>
      </c>
      <c r="B6" s="27" t="s">
        <v>49</v>
      </c>
      <c r="C6" s="27" t="s">
        <v>50</v>
      </c>
      <c r="D6" s="27" t="s">
        <v>38</v>
      </c>
      <c r="E6" s="27">
        <v>267</v>
      </c>
      <c r="F6" s="27" t="s">
        <v>51</v>
      </c>
    </row>
    <row r="7" spans="1:6" x14ac:dyDescent="0.35">
      <c r="A7" s="27">
        <v>6</v>
      </c>
      <c r="B7" s="27" t="s">
        <v>52</v>
      </c>
      <c r="C7" s="27" t="s">
        <v>53</v>
      </c>
      <c r="D7" s="27" t="s">
        <v>38</v>
      </c>
      <c r="E7" s="27">
        <v>267</v>
      </c>
      <c r="F7" s="27" t="s">
        <v>54</v>
      </c>
    </row>
    <row r="8" spans="1:6" x14ac:dyDescent="0.35">
      <c r="A8" s="27">
        <v>7</v>
      </c>
      <c r="B8" s="27" t="s">
        <v>55</v>
      </c>
      <c r="C8" s="27" t="s">
        <v>56</v>
      </c>
      <c r="D8" s="27" t="s">
        <v>38</v>
      </c>
      <c r="E8" s="27">
        <v>267</v>
      </c>
      <c r="F8" s="27" t="s">
        <v>57</v>
      </c>
    </row>
    <row r="9" spans="1:6" x14ac:dyDescent="0.35">
      <c r="A9" s="27">
        <v>8</v>
      </c>
      <c r="B9" s="27" t="s">
        <v>58</v>
      </c>
      <c r="C9" s="27" t="s">
        <v>59</v>
      </c>
      <c r="D9" s="27" t="s">
        <v>38</v>
      </c>
      <c r="E9" s="27">
        <v>267</v>
      </c>
      <c r="F9" s="27" t="s">
        <v>60</v>
      </c>
    </row>
    <row r="10" spans="1:6" x14ac:dyDescent="0.35">
      <c r="A10" s="27">
        <v>9</v>
      </c>
      <c r="B10" s="27" t="s">
        <v>61</v>
      </c>
      <c r="C10" s="27" t="s">
        <v>62</v>
      </c>
      <c r="D10" s="27" t="s">
        <v>38</v>
      </c>
      <c r="E10" s="27">
        <v>267</v>
      </c>
      <c r="F10" s="27" t="s">
        <v>63</v>
      </c>
    </row>
    <row r="11" spans="1:6" x14ac:dyDescent="0.35">
      <c r="A11" s="27">
        <v>10</v>
      </c>
      <c r="B11" s="27" t="s">
        <v>64</v>
      </c>
      <c r="C11" s="27" t="s">
        <v>65</v>
      </c>
      <c r="D11" s="27" t="s">
        <v>38</v>
      </c>
      <c r="E11" s="27">
        <v>267</v>
      </c>
      <c r="F11" s="27" t="s">
        <v>66</v>
      </c>
    </row>
    <row r="12" spans="1:6" x14ac:dyDescent="0.35">
      <c r="A12" s="27">
        <v>11</v>
      </c>
      <c r="B12" s="27" t="s">
        <v>67</v>
      </c>
      <c r="C12" s="27" t="s">
        <v>68</v>
      </c>
      <c r="D12" s="27" t="s">
        <v>38</v>
      </c>
      <c r="E12" s="27">
        <v>267</v>
      </c>
      <c r="F12" s="27" t="s">
        <v>69</v>
      </c>
    </row>
    <row r="13" spans="1:6" x14ac:dyDescent="0.35">
      <c r="A13" s="27">
        <v>12</v>
      </c>
      <c r="B13" s="27" t="s">
        <v>70</v>
      </c>
      <c r="C13" s="27" t="s">
        <v>71</v>
      </c>
      <c r="D13" s="27" t="s">
        <v>38</v>
      </c>
      <c r="E13" s="27">
        <v>267</v>
      </c>
      <c r="F13" s="27" t="s">
        <v>72</v>
      </c>
    </row>
    <row r="14" spans="1:6" x14ac:dyDescent="0.35">
      <c r="A14" s="27">
        <v>13</v>
      </c>
      <c r="B14" s="27" t="s">
        <v>73</v>
      </c>
      <c r="C14" s="27" t="s">
        <v>74</v>
      </c>
      <c r="D14" s="27" t="s">
        <v>38</v>
      </c>
      <c r="E14" s="27">
        <v>267</v>
      </c>
      <c r="F14" s="27" t="s">
        <v>75</v>
      </c>
    </row>
    <row r="15" spans="1:6" x14ac:dyDescent="0.35">
      <c r="A15" s="27">
        <v>14</v>
      </c>
      <c r="B15" s="27" t="s">
        <v>76</v>
      </c>
      <c r="C15" s="27" t="s">
        <v>77</v>
      </c>
      <c r="D15" s="27" t="s">
        <v>38</v>
      </c>
      <c r="E15" s="27">
        <v>267</v>
      </c>
      <c r="F15" s="27" t="s">
        <v>78</v>
      </c>
    </row>
    <row r="16" spans="1:6" x14ac:dyDescent="0.35">
      <c r="A16" s="27">
        <v>15</v>
      </c>
      <c r="B16" s="27" t="s">
        <v>79</v>
      </c>
      <c r="C16" s="27" t="s">
        <v>80</v>
      </c>
      <c r="D16" s="27" t="s">
        <v>38</v>
      </c>
      <c r="E16" s="27">
        <v>267</v>
      </c>
      <c r="F16" s="27" t="s">
        <v>81</v>
      </c>
    </row>
    <row r="17" spans="1:6" x14ac:dyDescent="0.35">
      <c r="A17" s="27">
        <v>16</v>
      </c>
      <c r="B17" s="27" t="s">
        <v>82</v>
      </c>
      <c r="C17" s="27" t="s">
        <v>83</v>
      </c>
      <c r="D17" s="27" t="s">
        <v>38</v>
      </c>
      <c r="E17" s="27">
        <v>267</v>
      </c>
      <c r="F17" s="27" t="s">
        <v>84</v>
      </c>
    </row>
    <row r="18" spans="1:6" x14ac:dyDescent="0.35">
      <c r="A18" s="27">
        <v>17</v>
      </c>
      <c r="B18" s="27" t="s">
        <v>85</v>
      </c>
      <c r="C18" s="27" t="s">
        <v>86</v>
      </c>
      <c r="D18" s="27" t="s">
        <v>38</v>
      </c>
      <c r="E18" s="27">
        <v>267</v>
      </c>
      <c r="F18" s="27" t="s">
        <v>87</v>
      </c>
    </row>
    <row r="19" spans="1:6" x14ac:dyDescent="0.35">
      <c r="A19" s="27">
        <v>18</v>
      </c>
      <c r="B19" s="27" t="s">
        <v>88</v>
      </c>
      <c r="C19" s="27" t="s">
        <v>89</v>
      </c>
      <c r="D19" s="27" t="s">
        <v>38</v>
      </c>
      <c r="E19" s="27">
        <v>267</v>
      </c>
      <c r="F19" s="27" t="s">
        <v>90</v>
      </c>
    </row>
    <row r="20" spans="1:6" x14ac:dyDescent="0.35">
      <c r="A20" s="27">
        <v>19</v>
      </c>
      <c r="B20" s="27" t="s">
        <v>91</v>
      </c>
      <c r="C20" s="27" t="s">
        <v>92</v>
      </c>
      <c r="D20" s="27" t="s">
        <v>38</v>
      </c>
      <c r="E20" s="27">
        <v>267</v>
      </c>
      <c r="F20" s="27" t="s">
        <v>93</v>
      </c>
    </row>
    <row r="21" spans="1:6" x14ac:dyDescent="0.35">
      <c r="A21" s="27">
        <v>20</v>
      </c>
      <c r="B21" s="27" t="s">
        <v>94</v>
      </c>
      <c r="C21" s="27" t="s">
        <v>95</v>
      </c>
      <c r="D21" s="27" t="s">
        <v>38</v>
      </c>
      <c r="E21" s="27">
        <v>267</v>
      </c>
      <c r="F21" s="27" t="s">
        <v>96</v>
      </c>
    </row>
    <row r="22" spans="1:6" x14ac:dyDescent="0.35">
      <c r="A22" s="27">
        <v>21</v>
      </c>
      <c r="B22" s="27" t="s">
        <v>97</v>
      </c>
      <c r="C22" s="27" t="s">
        <v>98</v>
      </c>
      <c r="D22" s="27" t="s">
        <v>38</v>
      </c>
      <c r="E22" s="27">
        <v>267</v>
      </c>
      <c r="F22" s="27" t="s">
        <v>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BAA9-88D1-4393-ABF7-5FEA64A9527E}">
  <dimension ref="A1:E2"/>
  <sheetViews>
    <sheetView workbookViewId="0">
      <selection activeCell="B15" sqref="B15"/>
    </sheetView>
  </sheetViews>
  <sheetFormatPr baseColWidth="10" defaultRowHeight="14.5" x14ac:dyDescent="0.35"/>
  <cols>
    <col min="1" max="1" width="22.54296875" bestFit="1" customWidth="1"/>
    <col min="2" max="2" width="22.54296875" customWidth="1"/>
    <col min="3" max="3" width="34.08984375" bestFit="1" customWidth="1"/>
    <col min="4" max="4" width="31.453125" bestFit="1" customWidth="1"/>
  </cols>
  <sheetData>
    <row r="1" spans="1:5" ht="12.65" customHeight="1" x14ac:dyDescent="0.35">
      <c r="A1" s="1" t="s">
        <v>32</v>
      </c>
      <c r="B1" s="8" t="s">
        <v>309</v>
      </c>
      <c r="C1" s="9" t="s">
        <v>308</v>
      </c>
      <c r="D1" s="9" t="s">
        <v>307</v>
      </c>
      <c r="E1" s="10" t="s">
        <v>306</v>
      </c>
    </row>
    <row r="2" spans="1:5" ht="12.65" customHeight="1" x14ac:dyDescent="0.35">
      <c r="A2" s="12" t="s">
        <v>33</v>
      </c>
      <c r="B2" s="24" t="s">
        <v>34</v>
      </c>
      <c r="C2" s="25" t="s">
        <v>35</v>
      </c>
      <c r="D2" s="25"/>
      <c r="E2" s="26">
        <v>46144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4581-B6E8-4E61-8E1D-F6C3CE5AAE56}">
  <dimension ref="A1:O3"/>
  <sheetViews>
    <sheetView zoomScale="90" zoomScaleNormal="90" workbookViewId="0">
      <selection activeCell="D15" sqref="D15"/>
    </sheetView>
  </sheetViews>
  <sheetFormatPr baseColWidth="10" defaultRowHeight="14.5" x14ac:dyDescent="0.35"/>
  <cols>
    <col min="1" max="1" width="12.453125" customWidth="1"/>
    <col min="3" max="3" width="13.453125" customWidth="1"/>
    <col min="4" max="4" width="56.90625" bestFit="1" customWidth="1"/>
    <col min="5" max="5" width="15.1796875" bestFit="1" customWidth="1"/>
    <col min="6" max="6" width="11.90625" bestFit="1" customWidth="1"/>
    <col min="7" max="7" width="13" bestFit="1" customWidth="1"/>
    <col min="8" max="8" width="14.08984375" bestFit="1" customWidth="1"/>
    <col min="10" max="10" width="31" bestFit="1" customWidth="1"/>
    <col min="11" max="11" width="15.1796875" bestFit="1" customWidth="1"/>
    <col min="13" max="13" width="13.08984375" bestFit="1" customWidth="1"/>
  </cols>
  <sheetData>
    <row r="1" spans="1:15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x14ac:dyDescent="0.35">
      <c r="A2" s="18" t="s">
        <v>15</v>
      </c>
      <c r="B2" s="19" t="s">
        <v>16</v>
      </c>
      <c r="C2" s="19" t="s">
        <v>17</v>
      </c>
      <c r="D2" s="19" t="s">
        <v>18</v>
      </c>
      <c r="E2" s="19" t="s">
        <v>19</v>
      </c>
      <c r="F2" s="19">
        <v>282</v>
      </c>
      <c r="G2" s="19">
        <v>1640</v>
      </c>
      <c r="H2" s="19">
        <v>649</v>
      </c>
      <c r="I2" s="19" t="s">
        <v>20</v>
      </c>
      <c r="J2" s="19" t="s">
        <v>21</v>
      </c>
      <c r="K2" s="19" t="s">
        <v>22</v>
      </c>
      <c r="L2" s="19">
        <v>501</v>
      </c>
      <c r="M2" s="19" t="s">
        <v>23</v>
      </c>
      <c r="N2" s="19" t="s">
        <v>24</v>
      </c>
      <c r="O2" s="20">
        <v>501</v>
      </c>
    </row>
    <row r="3" spans="1:15" x14ac:dyDescent="0.35">
      <c r="A3" s="21" t="s">
        <v>25</v>
      </c>
      <c r="B3" s="22" t="s">
        <v>16</v>
      </c>
      <c r="C3" s="22" t="s">
        <v>26</v>
      </c>
      <c r="D3" s="22" t="s">
        <v>27</v>
      </c>
      <c r="E3" s="22" t="s">
        <v>19</v>
      </c>
      <c r="F3" s="22">
        <v>282</v>
      </c>
      <c r="G3" s="22">
        <v>1640</v>
      </c>
      <c r="H3" s="22">
        <v>764</v>
      </c>
      <c r="I3" s="22" t="s">
        <v>20</v>
      </c>
      <c r="J3" s="22" t="s">
        <v>28</v>
      </c>
      <c r="K3" s="22" t="s">
        <v>29</v>
      </c>
      <c r="L3" s="22">
        <v>501</v>
      </c>
      <c r="M3" s="22" t="s">
        <v>30</v>
      </c>
      <c r="N3" s="22" t="s">
        <v>31</v>
      </c>
      <c r="O3" s="23">
        <v>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Comercializadoras</vt:lpstr>
      <vt:lpstr>Etiquetas</vt:lpstr>
      <vt:lpstr>Art. 40</vt:lpstr>
      <vt:lpstr>Pasajeros</vt:lpstr>
      <vt:lpstr>Fis</vt:lpstr>
      <vt:lpstr>DPA</vt:lpstr>
      <vt:lpstr>Hallazgos</vt:lpstr>
      <vt:lpstr>Rectificaciones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Gte-Reingenieria</dc:creator>
  <cp:lastModifiedBy>Viviana Lara Ramon</cp:lastModifiedBy>
  <dcterms:created xsi:type="dcterms:W3CDTF">2026-08-12T16:47:02Z</dcterms:created>
  <dcterms:modified xsi:type="dcterms:W3CDTF">2026-08-21T17:36:35Z</dcterms:modified>
</cp:coreProperties>
</file>